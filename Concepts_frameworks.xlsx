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MyPersonalDocument\cyberPhD\Phd\MyArticles\7th paper MiOT frameworks\for submission Nordsec\"/>
    </mc:Choice>
  </mc:AlternateContent>
  <xr:revisionPtr revIDLastSave="0" documentId="13_ncr:1_{4CD56C1A-947D-41F4-8D06-2C24FAA068A6}" xr6:coauthVersionLast="47" xr6:coauthVersionMax="47" xr10:uidLastSave="{00000000-0000-0000-0000-000000000000}"/>
  <bookViews>
    <workbookView xWindow="-20610" yWindow="-120" windowWidth="20730" windowHeight="11160" activeTab="1" xr2:uid="{00000000-000D-0000-FFFF-FFFF00000000}"/>
  </bookViews>
  <sheets>
    <sheet name="Intro and Values" sheetId="2" r:id="rId1"/>
    <sheet name="Formal framework"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35" i="1" l="1"/>
  <c r="AX35" i="1"/>
  <c r="AQ35" i="1"/>
  <c r="AP35" i="1"/>
  <c r="AG35" i="1"/>
  <c r="AF35" i="1"/>
  <c r="W35" i="1"/>
  <c r="V35" i="1"/>
  <c r="M35" i="1"/>
  <c r="L35" i="1"/>
  <c r="AY34" i="1"/>
  <c r="AX34" i="1"/>
  <c r="AQ34" i="1"/>
  <c r="AP34" i="1"/>
  <c r="AG34" i="1"/>
  <c r="AF34" i="1"/>
  <c r="W34" i="1"/>
  <c r="V34" i="1"/>
  <c r="M34" i="1"/>
  <c r="L34" i="1"/>
  <c r="AY33" i="1"/>
  <c r="AX33" i="1"/>
  <c r="AQ33" i="1"/>
  <c r="AP33" i="1"/>
  <c r="AG33" i="1"/>
  <c r="AF33" i="1"/>
  <c r="W33" i="1"/>
  <c r="V33" i="1"/>
  <c r="M33" i="1"/>
  <c r="L33" i="1"/>
  <c r="AY32" i="1"/>
  <c r="AX32" i="1"/>
  <c r="AQ32" i="1"/>
  <c r="AP32" i="1"/>
  <c r="AG32" i="1"/>
  <c r="AF32" i="1"/>
  <c r="W32" i="1"/>
  <c r="V32" i="1"/>
  <c r="M32" i="1"/>
  <c r="L32" i="1"/>
  <c r="AY31" i="1"/>
  <c r="AX31" i="1"/>
  <c r="AQ31" i="1"/>
  <c r="AP31" i="1"/>
  <c r="AG31" i="1"/>
  <c r="AF31" i="1"/>
  <c r="W31" i="1"/>
  <c r="V31" i="1"/>
  <c r="M31" i="1"/>
  <c r="L31" i="1"/>
  <c r="AY30" i="1"/>
  <c r="AX30" i="1"/>
  <c r="AQ30" i="1"/>
  <c r="AP30" i="1"/>
  <c r="AG30" i="1"/>
  <c r="AF30" i="1"/>
  <c r="W30" i="1"/>
  <c r="V30" i="1"/>
  <c r="M30" i="1"/>
  <c r="L30" i="1"/>
  <c r="AY29" i="1"/>
  <c r="AX29" i="1"/>
  <c r="AQ29" i="1"/>
  <c r="AP29" i="1"/>
  <c r="AG29" i="1"/>
  <c r="AF29" i="1"/>
  <c r="W29" i="1"/>
  <c r="V29" i="1"/>
  <c r="M29" i="1"/>
  <c r="L29" i="1"/>
  <c r="AY28" i="1"/>
  <c r="AX28" i="1"/>
  <c r="AQ28" i="1"/>
  <c r="AP28" i="1"/>
  <c r="AG28" i="1"/>
  <c r="AF28" i="1"/>
  <c r="W28" i="1"/>
  <c r="V28" i="1"/>
  <c r="M28" i="1"/>
  <c r="L28" i="1"/>
  <c r="AY27" i="1"/>
  <c r="AX27" i="1"/>
  <c r="AQ27" i="1"/>
  <c r="AP27" i="1"/>
  <c r="AG27" i="1"/>
  <c r="AF27" i="1"/>
  <c r="W27" i="1"/>
  <c r="V27" i="1"/>
  <c r="M27" i="1"/>
  <c r="L27" i="1"/>
  <c r="AY26" i="1"/>
  <c r="AX26" i="1"/>
  <c r="AQ26" i="1"/>
  <c r="AP26" i="1"/>
  <c r="AG26" i="1"/>
  <c r="AF26" i="1"/>
  <c r="W26" i="1"/>
  <c r="V26" i="1"/>
  <c r="M26" i="1"/>
  <c r="L26" i="1"/>
  <c r="AY25" i="1"/>
  <c r="AX25" i="1"/>
  <c r="AQ25" i="1"/>
  <c r="AP25" i="1"/>
  <c r="AG25" i="1"/>
  <c r="AF25" i="1"/>
  <c r="W25" i="1"/>
  <c r="V25" i="1"/>
  <c r="M25" i="1"/>
  <c r="L25" i="1"/>
  <c r="AY24" i="1"/>
  <c r="AX24" i="1"/>
  <c r="AQ24" i="1"/>
  <c r="AP24" i="1"/>
  <c r="AG24" i="1"/>
  <c r="AF24" i="1"/>
  <c r="W24" i="1"/>
  <c r="V24" i="1"/>
  <c r="M24" i="1"/>
  <c r="L24" i="1"/>
  <c r="AY23" i="1"/>
  <c r="AX23" i="1"/>
  <c r="AQ23" i="1"/>
  <c r="AP23" i="1"/>
  <c r="AG23" i="1"/>
  <c r="AF23" i="1"/>
  <c r="W23" i="1"/>
  <c r="V23" i="1"/>
  <c r="M23" i="1"/>
  <c r="L23" i="1"/>
  <c r="AY22" i="1"/>
  <c r="AX22" i="1"/>
  <c r="AQ22" i="1"/>
  <c r="AP22" i="1"/>
  <c r="AG22" i="1"/>
  <c r="AF22" i="1"/>
  <c r="W22" i="1"/>
  <c r="V22" i="1"/>
  <c r="M22" i="1"/>
  <c r="L22" i="1"/>
  <c r="AY21" i="1"/>
  <c r="AX21" i="1"/>
  <c r="AQ21" i="1"/>
  <c r="AP21" i="1"/>
  <c r="AG21" i="1"/>
  <c r="AF21" i="1"/>
  <c r="W21" i="1"/>
  <c r="V21" i="1"/>
  <c r="M21" i="1"/>
  <c r="L21" i="1"/>
  <c r="AY20" i="1"/>
  <c r="AX20" i="1"/>
  <c r="AQ20" i="1"/>
  <c r="AP20" i="1"/>
  <c r="AG20" i="1"/>
  <c r="AF20" i="1"/>
  <c r="W20" i="1"/>
  <c r="V20" i="1"/>
  <c r="M20" i="1"/>
  <c r="L20" i="1"/>
  <c r="AY19" i="1"/>
  <c r="AX19" i="1"/>
  <c r="AQ19" i="1"/>
  <c r="AP19" i="1"/>
  <c r="AG19" i="1"/>
  <c r="AF19" i="1"/>
  <c r="W19" i="1"/>
  <c r="V19" i="1"/>
  <c r="M19" i="1"/>
  <c r="L19" i="1"/>
  <c r="AY18" i="1"/>
  <c r="AX18" i="1"/>
  <c r="AQ18" i="1"/>
  <c r="AP18" i="1"/>
  <c r="AG18" i="1"/>
  <c r="AF18" i="1"/>
  <c r="W18" i="1"/>
  <c r="V18" i="1"/>
  <c r="M18" i="1"/>
  <c r="L18" i="1"/>
  <c r="AY17" i="1"/>
  <c r="AX17" i="1"/>
  <c r="AQ17" i="1"/>
  <c r="AP17" i="1"/>
  <c r="AG17" i="1"/>
  <c r="AF17" i="1"/>
  <c r="W17" i="1"/>
  <c r="V17" i="1"/>
  <c r="M17" i="1"/>
  <c r="L17" i="1"/>
  <c r="AY16" i="1"/>
  <c r="AX16" i="1"/>
  <c r="AQ16" i="1"/>
  <c r="AP16" i="1"/>
  <c r="AG16" i="1"/>
  <c r="AF16" i="1"/>
  <c r="W16" i="1"/>
  <c r="V16" i="1"/>
  <c r="M16" i="1"/>
  <c r="L16" i="1"/>
  <c r="AY15" i="1"/>
  <c r="AX15" i="1"/>
  <c r="AQ15" i="1"/>
  <c r="AP15" i="1"/>
  <c r="AG15" i="1"/>
  <c r="AF15" i="1"/>
  <c r="W15" i="1"/>
  <c r="V15" i="1"/>
  <c r="M15" i="1"/>
  <c r="L15" i="1"/>
  <c r="AY14" i="1"/>
  <c r="AX14" i="1"/>
  <c r="AQ14" i="1"/>
  <c r="AP14" i="1"/>
  <c r="AG14" i="1"/>
  <c r="AF14" i="1"/>
  <c r="W14" i="1"/>
  <c r="V14" i="1"/>
  <c r="M14" i="1"/>
  <c r="L14" i="1"/>
  <c r="AY13" i="1"/>
  <c r="AX13" i="1"/>
  <c r="AQ13" i="1"/>
  <c r="AP13" i="1"/>
  <c r="AG13" i="1"/>
  <c r="AF13" i="1"/>
  <c r="W13" i="1"/>
  <c r="V13" i="1"/>
  <c r="M13" i="1"/>
  <c r="L13" i="1"/>
  <c r="AY12" i="1"/>
  <c r="AX12" i="1"/>
  <c r="AQ12" i="1"/>
  <c r="AP12" i="1"/>
  <c r="AG12" i="1"/>
  <c r="AF12" i="1"/>
  <c r="W12" i="1"/>
  <c r="V12" i="1"/>
  <c r="M12" i="1"/>
  <c r="L12" i="1"/>
  <c r="AY11" i="1"/>
  <c r="AX11" i="1"/>
  <c r="AQ11" i="1"/>
  <c r="AP11" i="1"/>
  <c r="AG11" i="1"/>
  <c r="AF11" i="1"/>
  <c r="W11" i="1"/>
  <c r="V11" i="1"/>
  <c r="M11" i="1"/>
  <c r="L11" i="1"/>
  <c r="AY10" i="1"/>
  <c r="AX10" i="1"/>
  <c r="AQ10" i="1"/>
  <c r="AP10" i="1"/>
  <c r="AG10" i="1"/>
  <c r="AF10" i="1"/>
  <c r="W10" i="1"/>
  <c r="V10" i="1"/>
  <c r="M10" i="1"/>
  <c r="L10" i="1"/>
  <c r="AY9" i="1"/>
  <c r="AX9" i="1"/>
  <c r="AQ9" i="1"/>
  <c r="AP9" i="1"/>
  <c r="AG9" i="1"/>
  <c r="AF9" i="1"/>
  <c r="W9" i="1"/>
  <c r="V9" i="1"/>
  <c r="M9" i="1"/>
  <c r="L9" i="1"/>
  <c r="AY8" i="1"/>
  <c r="AX8" i="1"/>
  <c r="AQ8" i="1"/>
  <c r="AP8" i="1"/>
  <c r="AG8" i="1"/>
  <c r="AF8" i="1"/>
  <c r="W8" i="1"/>
  <c r="V8" i="1"/>
  <c r="M8" i="1"/>
  <c r="L8" i="1"/>
  <c r="AY7" i="1"/>
  <c r="AX7" i="1"/>
  <c r="AQ7" i="1"/>
  <c r="AP7" i="1"/>
  <c r="AG7" i="1"/>
  <c r="AF7" i="1"/>
  <c r="W7" i="1"/>
  <c r="V7" i="1"/>
  <c r="M7" i="1"/>
  <c r="L7" i="1"/>
  <c r="AY6" i="1"/>
  <c r="AX6" i="1"/>
  <c r="AQ6" i="1"/>
  <c r="AP6" i="1"/>
  <c r="AG6" i="1"/>
  <c r="AF6" i="1"/>
  <c r="W6" i="1"/>
  <c r="V6" i="1"/>
  <c r="M6" i="1"/>
  <c r="L6" i="1"/>
  <c r="AY5" i="1"/>
  <c r="AX5" i="1"/>
  <c r="AQ5" i="1"/>
  <c r="AP5" i="1"/>
  <c r="AG5" i="1"/>
  <c r="AF5" i="1"/>
  <c r="W5" i="1"/>
  <c r="V5" i="1"/>
  <c r="M5" i="1"/>
  <c r="L5" i="1"/>
  <c r="AY4" i="1"/>
  <c r="AX4" i="1"/>
  <c r="AQ4" i="1"/>
  <c r="AP4" i="1"/>
  <c r="AG4" i="1"/>
  <c r="AF4" i="1"/>
  <c r="W4" i="1"/>
  <c r="V4" i="1"/>
  <c r="M4" i="1"/>
  <c r="L4" i="1"/>
  <c r="BD4" i="1" l="1"/>
  <c r="BA4" i="1"/>
  <c r="BC4" i="1"/>
  <c r="BD5" i="1"/>
  <c r="BA5" i="1"/>
  <c r="BC5" i="1"/>
  <c r="BD16" i="1"/>
  <c r="BD35" i="1"/>
  <c r="BD34" i="1"/>
  <c r="BD11" i="1"/>
  <c r="BC22" i="1"/>
  <c r="BC21" i="1"/>
  <c r="BD33" i="1"/>
  <c r="BC11" i="1"/>
  <c r="BC18" i="1"/>
  <c r="BD32" i="1"/>
  <c r="BD10" i="1"/>
  <c r="BC19" i="1"/>
  <c r="BD6" i="1"/>
  <c r="BD9" i="1"/>
  <c r="BD8" i="1"/>
  <c r="BD15" i="1"/>
  <c r="BD17" i="1"/>
  <c r="BA35" i="1"/>
  <c r="BC30" i="1"/>
  <c r="BD7" i="1"/>
  <c r="BC28" i="1"/>
  <c r="BC33" i="1"/>
  <c r="BD27" i="1"/>
  <c r="BC27" i="1"/>
  <c r="BA6" i="1"/>
  <c r="BC16" i="1"/>
  <c r="BD25" i="1"/>
  <c r="BC25" i="1"/>
  <c r="BA33" i="1"/>
  <c r="BC15" i="1"/>
  <c r="BD24" i="1"/>
  <c r="BC24" i="1"/>
  <c r="BD29" i="1"/>
  <c r="BC17" i="1"/>
  <c r="BC14" i="1"/>
  <c r="BD23" i="1"/>
  <c r="BC23" i="1"/>
  <c r="BC20" i="1"/>
  <c r="BD26" i="1"/>
  <c r="BD13" i="1"/>
  <c r="BC6" i="1"/>
  <c r="BC13" i="1"/>
  <c r="BD21" i="1"/>
  <c r="BC8" i="1"/>
  <c r="BC26" i="1"/>
  <c r="BC34" i="1"/>
  <c r="BC12" i="1"/>
  <c r="BD28" i="1"/>
  <c r="BC35" i="1"/>
  <c r="BA31" i="1"/>
  <c r="BC9" i="1"/>
  <c r="BD20" i="1"/>
  <c r="BD12" i="1"/>
  <c r="BC10" i="1"/>
  <c r="BC31" i="1"/>
  <c r="BD19" i="1"/>
  <c r="BA30" i="1"/>
  <c r="BD22" i="1"/>
  <c r="BC29" i="1"/>
  <c r="BC7" i="1"/>
  <c r="BD18" i="1"/>
  <c r="BD14" i="1"/>
  <c r="BC32" i="1"/>
  <c r="BA29" i="1"/>
  <c r="BD31" i="1"/>
  <c r="BD30" i="1"/>
  <c r="BA34" i="1"/>
  <c r="BA32" i="1"/>
  <c r="BA28" i="1"/>
  <c r="BA23" i="1"/>
  <c r="BA19" i="1"/>
  <c r="BA20" i="1"/>
  <c r="BA22" i="1"/>
  <c r="BA11" i="1"/>
  <c r="BA10" i="1"/>
  <c r="BA18" i="1"/>
  <c r="BA21" i="1"/>
  <c r="BA13" i="1"/>
  <c r="BA7" i="1"/>
  <c r="BA25" i="1"/>
  <c r="BA24" i="1"/>
  <c r="BA26" i="1"/>
  <c r="BA27" i="1"/>
  <c r="BA12" i="1"/>
  <c r="BA15" i="1"/>
  <c r="BA16" i="1"/>
  <c r="BA17" i="1"/>
  <c r="BA14" i="1"/>
  <c r="BA9" i="1"/>
  <c r="BA8" i="1"/>
</calcChain>
</file>

<file path=xl/sharedStrings.xml><?xml version="1.0" encoding="utf-8"?>
<sst xmlns="http://schemas.openxmlformats.org/spreadsheetml/2006/main" count="797" uniqueCount="716">
  <si>
    <t>C1.1</t>
  </si>
  <si>
    <t>C1.2</t>
  </si>
  <si>
    <t>C1.3</t>
  </si>
  <si>
    <t>C1 score</t>
  </si>
  <si>
    <t>C2.1</t>
  </si>
  <si>
    <t>C2.2</t>
  </si>
  <si>
    <t>C2.3</t>
  </si>
  <si>
    <t>C2.4</t>
  </si>
  <si>
    <t>C2</t>
  </si>
  <si>
    <t>C3.1</t>
  </si>
  <si>
    <t>C3.2</t>
  </si>
  <si>
    <t>C3.3</t>
  </si>
  <si>
    <t>C3.4</t>
  </si>
  <si>
    <t>C3</t>
  </si>
  <si>
    <t>C4.1</t>
  </si>
  <si>
    <t>C4.2</t>
  </si>
  <si>
    <t>C4.3</t>
  </si>
  <si>
    <t>C4.4</t>
  </si>
  <si>
    <t>C4</t>
  </si>
  <si>
    <t>C5.1</t>
  </si>
  <si>
    <t>C5.2</t>
  </si>
  <si>
    <t>C5.3</t>
  </si>
  <si>
    <t>C5</t>
  </si>
  <si>
    <t>Logical grouping</t>
  </si>
  <si>
    <t>clear hierarchy</t>
  </si>
  <si>
    <t>component distinction</t>
  </si>
  <si>
    <t>Conceptual structure</t>
  </si>
  <si>
    <t>capability focus</t>
  </si>
  <si>
    <t>neutrality in specification</t>
  </si>
  <si>
    <t>measurable results</t>
  </si>
  <si>
    <t>clear success conditions</t>
  </si>
  <si>
    <t>Outcomes</t>
  </si>
  <si>
    <t>Preparation</t>
  </si>
  <si>
    <t>detection and analysis</t>
  </si>
  <si>
    <t>response</t>
  </si>
  <si>
    <t>Recovery and improvement</t>
  </si>
  <si>
    <t>Engineering and operational</t>
  </si>
  <si>
    <t>Cyber</t>
  </si>
  <si>
    <t>Incident response</t>
  </si>
  <si>
    <t>Risk management</t>
  </si>
  <si>
    <t>Sector adaptability</t>
  </si>
  <si>
    <t>Flexible level of detail</t>
  </si>
  <si>
    <t>Able to evolve</t>
  </si>
  <si>
    <t>score</t>
  </si>
  <si>
    <t>justification</t>
  </si>
  <si>
    <t>score aggregation</t>
  </si>
  <si>
    <t>evaluation</t>
  </si>
  <si>
    <t xml:space="preserve">Bodeau et. al </t>
  </si>
  <si>
    <t>Cyber resiliency engineering framework. MITRE Technical Report MTR110237, The MITRE Corporation, Bedford, MA (2011), https://icscsi.org/library/Documents/Best_Practices/MITRE%20-%20Cyber%20Resiliency%20Engineering%20Framework.pdf</t>
  </si>
  <si>
    <t>Mil</t>
  </si>
  <si>
    <t xml:space="preserve">Lehto et al. </t>
  </si>
  <si>
    <t>Lehto, G.M., Edlund, G., Smigla, T., Afinidad, F.: Protection evaluation framework for tactical satcom architectures. In: MILCOM 2013 - 2013 IEEE Military Communications Conference. pp. 1008–1013 (2013). https://doi.org/10.1109/MILCOM.2013.175</t>
  </si>
  <si>
    <t xml:space="preserve">IEC </t>
  </si>
  <si>
    <t>Industrial communication networks – network and system security – part 3-3: System security requirements and security levels (2013),https://webstore.iec.ch/</t>
  </si>
  <si>
    <t>Civ-All</t>
  </si>
  <si>
    <t xml:space="preserve">Hasan et al. </t>
  </si>
  <si>
    <t>Hasan, K., Shetty, S., Hassanzadeh, A., Ullah, S.: Towards optimal cyber de-
fense remediation in cyber physical systems by balancing operational resilience and strategic risk. In: MILCOM 2019 - 2019 IEEE Military Communications Conference (MILCOM). pp. 1–8 (2019). https://doi.org/10.1109/MILCOM47813.2019.9021076</t>
  </si>
  <si>
    <t xml:space="preserve">Ross et al. </t>
  </si>
  <si>
    <t>Ross, R., Pillitteri, V., Graubart, R., Bodeau, D., McQuaid, R.: Developing cyber resilient systems: A systems security engineering approach. NIST Special Publication 800-160, Volume 2, Revision 1, National Institute of Standards and Technology, Gaithersburg, MD (December 2021),https://doi.org/10.6028/NIST.SP.800-160v2r1</t>
  </si>
  <si>
    <t>of Standards, N.I., Technology: Systems security engineering: Considerations for a multidisciplinary approach in the engineering of trustworthy secure systems. NIST Special Publication 800-160, National Institute of Standards and Technology, Gaithersburg, MD, USA (2018), https://doi.org/10.6028/NIST.SP.800-160v1r1, u.S. Department of Commerce</t>
  </si>
  <si>
    <t xml:space="preserve">Reifert et al. </t>
  </si>
  <si>
    <t>Reifert, R.J., Krawczyk-Becker, M., Prenzel, L., Pavlichkov, S., Khatib, M.A., Hiremath, S.A., Al-Askary, M., Bajcinca, N., Steinhorst, S., Sezgin, A.: Toward resilience in mixed critical industrial control systems: A multi-disciplinary view. IEEE Access 10, 124563–124581 (2022). https://doi.org/10.1109/ACCESS.2022.3224425</t>
  </si>
  <si>
    <t xml:space="preserve">Patriarca et al. </t>
  </si>
  <si>
    <t>Patriarca, R., Simone, F., Di Gravio, G.: Modelling cyber resilience in a water treatment and distribution system. Reliability Engineering &amp; System Safety 226, 108653 (2022). https://doi.org/10.1016/j.ress.2022.108653</t>
  </si>
  <si>
    <t>Civ-ES</t>
  </si>
  <si>
    <t xml:space="preserve">Barbeau et al. </t>
  </si>
  <si>
    <t>Barbeau, M., Garcia-Alfaro, J., Lübben, C., Pahl, M.O., Wüstrich, L.: Resilience via blackbox self-piloting plants. In: CEUR Workshop Proceedings of the 29th Computer &amp; Electronics Security Application Rendezvous (C&amp;ESAR 2022). vol. 3329, pp. 35–46. Pôle d’Excellence Cyber, Rennes, France (2022), https://hal.science/hal-04006320</t>
  </si>
  <si>
    <t xml:space="preserve">US DoD </t>
  </si>
  <si>
    <t>U.S. Department of Defense: Risk management framework (rmf) for dod information technology (it). Tech. Rep. DoD Instruction 8510.01, U.S. Department of Defense (dec 2022), https://www.esd.whs.mil/Portals/54/Documents/DD/issuances/dodi/851001p.pdf</t>
  </si>
  <si>
    <t xml:space="preserve">Kim et al. </t>
  </si>
  <si>
    <t>Kim, I., Kim, S., Kim, H., Shin, D.: Mission-based cybersecurity test and evaluation of weapon systems in association with risk management framework. Symmetry 14(11), 2361 (2022). https://doi.org/10.3390/sym14112361, https://www.mdpi.com/2073-8994/14/11/2361</t>
  </si>
  <si>
    <t xml:space="preserve">Endregard et al. </t>
  </si>
  <si>
    <t>Endregard, M., Nystuen, K.O.: A pragmatic capability-based framework for national security risk governance. In: Proceedings of the 33rd European Safety and Reliability Conference (ESREL 2023). pp. 3432–3440. Research Publishing, Singapore (2023). https://doi.org/10.3850/978-981-18-8071-1_P374-cd</t>
  </si>
  <si>
    <t xml:space="preserve">Krecht et al. </t>
  </si>
  <si>
    <t>Krecht, R., Suta, A., Árpád Tóth, Áron Ballagi: Towards the resilience quantification of (military) unmanned ground vehicles. Cleaner Engineering and Technology 14, 100644 (2023). https://doi.org/10.1016/j.clet.2023.100644</t>
  </si>
  <si>
    <t xml:space="preserve">Bader et al. </t>
  </si>
  <si>
    <t>Bader, L., Wagner, E., Henze, M., Serror, M.: Metrics: A methodology for evaluating and testing the resilience of industrial control systems to cyberattacks. In: Katsikas, S., Cuppens, F., Cuppens-Boulahia, N., Lambrinoudakis, C., Garcia-Alfaro, J., Navarro-Arribas, G., Nespoli, P., Kalloniatis, C., Mylopoulos, J., Antón, A., Gritzalis, S. (eds.) Computer Security. ESORICS 2023 International Workshops. pp. 25–45. Springer Nature Switzerland, Cham (2024)</t>
  </si>
  <si>
    <t xml:space="preserve">Espinoza et al. </t>
  </si>
  <si>
    <t>Espinoza-Zelaya, C., Moon, Y.B.: Framework for enhancing the operational resilience of cyber-manufacturing systems against cyber-attacks. Manufacturing Letters 35, 843–850 (2023). https://doi.org/10.1016/j.mfglet.2023.07.004, https://www.sciencedirect.com/science/article/pii/S2213846323000366</t>
  </si>
  <si>
    <t xml:space="preserve">Gurina et al. </t>
  </si>
  <si>
    <t>Gurina, L.: Cyber resilience metrics assessment of cyber-physical energy system information infrastructure. In: Proceedings of the International Ural Conference on Electrical Power Engineering (UralCon). pp. 111–116. IEEE (2023). https://doi.org/10.1109/UralCon59258.2023.10291112</t>
  </si>
  <si>
    <t xml:space="preserve">Maruf et al. </t>
  </si>
  <si>
    <t>Maruf, A.A., Niu, L., Clark, A., Mertoguno, J.S., Poovendran, R.: A timing-based framework for designing resilient cyber-physical systems under safety constraint. ACM Transactions on Cyber-Physical Systems 7(3), 1–25 (2023). https://doi.org/10.1145/3594638</t>
  </si>
  <si>
    <t xml:space="preserve">Maurio et al. </t>
  </si>
  <si>
    <t>Maurio, J., Wood, P., Zanlongo, S.A., Silbermann, J., Sookoor, T., Lorenzo, A., Sleight, R., Rogers, J., Muller, D., Armiger, N., Rouff, C.A., Watkins, L.A.: Agile services and analysis framework for autonomous and autonomic critical infrastructure. Innovations in Systems and Software Engineering 19(2), 145–156 (2023). https://doi.org/10.1007/s11334-021-00411-9</t>
  </si>
  <si>
    <t>Civ-CI</t>
  </si>
  <si>
    <t xml:space="preserve">Dagnas et al. </t>
  </si>
  <si>
    <t>Dagnas, R., Barbeau, M., Boutin, M., Garcia-Alfaro, J., Yaich, R.: Exploring the quantitative resilience analysis of cyber-physical systems. In: 2023 IFIP Networking Conference (IFIP Networking). pp. 1–6. Institute of Electrical and Electronics Engineers (IEEE) (2023). https://doi.org/10.23919/IFIPNetworking57963.2023.10186355</t>
  </si>
  <si>
    <t xml:space="preserve">Pascoe et al. </t>
  </si>
  <si>
    <t>Pascoe, C., Quinn, S., Scarfone, K.: The nist cybersecurity framework (csf) 2.0. Tech. Rep. NIST Cybersecurity Framework 2.0, U.S. Department of Commerce (February 2024), https://doi.org/10.6028/NIST.CSWP.29</t>
  </si>
  <si>
    <t xml:space="preserve">Pal et al. </t>
  </si>
  <si>
    <t>Pal, R., Sequeira, R.X., Zeijlemaker, S., Siegel, M.: Optimizing cyber-resilience in critical infrastructure networks. 2024 Winter Simulation Conference (WSC) pp. 774–785 (2024), https://api.semanticscholar.org/CorpusID:275758871</t>
  </si>
  <si>
    <t xml:space="preserve">Qiu et al. </t>
  </si>
  <si>
    <t>Qiu, W., Dong, Y., Yin, H., He, M., She, B., Liu, Y.: Rapid monitoring and defense approach for resilience improvement of grid cyber security. IEEE Transactions on Industry Applications 61(1), 955–964 (2025). https://doi.org/10.1109/TIA.2024.3471734</t>
  </si>
  <si>
    <t xml:space="preserve">Khanna et al. </t>
  </si>
  <si>
    <t>Khanna, K., Govindarasu, M.: Resiliency-driven cyber-physical risk assessment and investment planning for power substations. IEEE Transactions on Control Systems Technology 32(5), 1743–1754 (2024)</t>
  </si>
  <si>
    <t xml:space="preserve">Niketh et al. </t>
  </si>
  <si>
    <t>Niketh, S., Mitikiri, S., Vignesh, V., Srinivas, V., Pal, M.: Game-theoretic resilience framework for cyber-physical microgrids using multi-agent reinforcement learning (09 2025). https://doi.org/10.48550/arXiv.2509.08310</t>
  </si>
  <si>
    <t xml:space="preserve">Luo et al. </t>
  </si>
  <si>
    <t>Luo, M., Tao, C., Liu, Y., Chen, S., Chen, P.: An endogenous security-oriented framework for cyber resilience assessment in critical infrastructures. Applied Sciences 15(15), 8342 (2025). https://doi.org/10.3390/app15158342</t>
  </si>
  <si>
    <t xml:space="preserve">Trump et al. </t>
  </si>
  <si>
    <t>Trump, B.D., Mitoulis, S.A., Argyroudis, S., Kiker, G., Palma-Oliveira, J., Horton, R., Pescaroli, G., Pinigina, E., Trump, J., Linkov, I.: Threat-agnostic resilience: Framing and applications. International Journal of Disaster Risk Reduction 124, 105535 (2025). https://doi.org/10.1016/j.ijdrr.2025.105535</t>
  </si>
  <si>
    <t xml:space="preserve">CISA </t>
  </si>
  <si>
    <t>of Homeland Security, U.D.: Infrastructure resilience planning framework (irpf).Tech. rep., Cybersecurity and Infrastructure Security Agency (CISA), Washington, D.C. (mar 2025), https://www.cisa.gov/resources-tools/resources/infrastructure-resilience-planning-framework-irpf</t>
  </si>
  <si>
    <t xml:space="preserve">Cao et al. </t>
  </si>
  <si>
    <t>Cao, Z., Zhao, H., Wang, Y., He, C., Zhou, D., Han, X.: A resilience quantitative assessment framework for cyber–physical systems: Mathematical modeling and simulation. Applied Sciences 15(15), 8285 (2025). https://doi.org/10.3390/app15158285</t>
  </si>
  <si>
    <t xml:space="preserve">Solat et al. </t>
  </si>
  <si>
    <t>Solat, A., Pirmoradi, A., B. Gharehpetian, G.: A novel cyber resilient distributed secondary control strategy against fdi attacks in islanded ac microgrids. Results in Engineering 28 (2025). https://doi.org/10.1016/j.rineng.2025.107355</t>
  </si>
  <si>
    <t xml:space="preserve">Yin et al. </t>
  </si>
  <si>
    <t>Yin, C., Yi, P., Bu, X.: Neural network-based guaranteed performance sliding mode security control of nonlinear cyber-physical systems. Engineering Applications of Artificial Intelligence 157, 111423 (2025). https://doi.org/10.1016/j.engappai.2025.111423</t>
  </si>
  <si>
    <t xml:space="preserve">Alrumaih et al. </t>
  </si>
  <si>
    <t>Alrumaih, T.N.I., Alenazi, M.J.F.: Erinda: A novel framework for enhancing the resilience of industrial networks against ddos attacks with adaptive recovery. Alexandria Engineering Journal 121, 248–262 (2025). https://doi.org/10.1016/j.aej.2025.02.042</t>
  </si>
  <si>
    <t xml:space="preserve">Zhang et al. </t>
  </si>
  <si>
    <t>Zhang, Y., Du, C., Chen, Z., Feng, Z., Gui, W.: Digital twin-based resilient model predictive control for industrial cyber-physical systems. IEEE Journal of Emerging and Selected Topics in Industrial Electronics 6(4), 1853–1862 (2025). https://doi.org/10.1109/JESTIE.2025.352888</t>
  </si>
  <si>
    <t>Overall</t>
  </si>
  <si>
    <t>Classification</t>
  </si>
  <si>
    <t>Minimum C1..C5</t>
  </si>
  <si>
    <t>FF</t>
  </si>
  <si>
    <t>PF</t>
  </si>
  <si>
    <t>Partial framework</t>
  </si>
  <si>
    <t>SRA</t>
  </si>
  <si>
    <t>Specialized resilience approach</t>
  </si>
  <si>
    <t>Type</t>
  </si>
  <si>
    <t>Framework types</t>
  </si>
  <si>
    <t>Formal framework (full)</t>
  </si>
  <si>
    <r>
      <t xml:space="preserve">Sub-criterion </t>
    </r>
    <r>
      <rPr>
        <i/>
        <sz val="10"/>
        <color theme="2"/>
        <rFont val="Arial"/>
        <family val="2"/>
      </rPr>
      <t>(e.g. Logical grouping)</t>
    </r>
  </si>
  <si>
    <t>Template for assessment of study against a sub-criterion</t>
  </si>
  <si>
    <t>Method / principle /process that supports the score awarded</t>
  </si>
  <si>
    <t>Each justification cell in the table in tab 'formal framework" contains 2 items:</t>
  </si>
  <si>
    <t>1) the justification for the score awarded</t>
  </si>
  <si>
    <t>2) the evidence: one or more sections in the study that supports the justification</t>
  </si>
  <si>
    <t xml:space="preserve">Overall </t>
  </si>
  <si>
    <t>Average of the individual scores of C1:C5</t>
  </si>
  <si>
    <t>Minimum score of the individual scores of C1:C5</t>
  </si>
  <si>
    <t xml:space="preserve">min score between 0,75 and 1  </t>
  </si>
  <si>
    <t>min score between 0,5 and 0,75</t>
  </si>
  <si>
    <t>partial framework (PF)</t>
  </si>
  <si>
    <t>full framework (FF)</t>
  </si>
  <si>
    <t>min score less than 0,5</t>
  </si>
  <si>
    <r>
      <t xml:space="preserve">Method / principle / process: </t>
    </r>
    <r>
      <rPr>
        <sz val="10"/>
        <color theme="2"/>
        <rFont val="Arial"/>
        <family val="2"/>
      </rPr>
      <t>&lt;define method, principle or process that justifies the score awarded to the criteria&gt;</t>
    </r>
    <r>
      <rPr>
        <sz val="10"/>
        <color theme="1"/>
        <rFont val="Arial"/>
        <family val="2"/>
      </rPr>
      <t xml:space="preserve">
Evidence section(s): </t>
    </r>
    <r>
      <rPr>
        <i/>
        <sz val="10"/>
        <color theme="2"/>
        <rFont val="Arial"/>
        <family val="2"/>
      </rPr>
      <t>&lt;define section in the study that supports the method/principle/process&gt;</t>
    </r>
  </si>
  <si>
    <t>Method / principle / process: The resilience concepts are grouped thematically in goals (why resilience is needed), objectives (what must be accomplished), techniques (how objectives are achieved) and approaches(how a technique is realized)
Evidence section(s): Executive Summary; Section 4.1 Elements of Cyber resiliency defining Goals (4.1.1), Objectives (4.1.2), and including Techniques, and Implementation Approaches; concept-relationship diagrams and technique-to-objective mappings.</t>
  </si>
  <si>
    <t>Method / principle / process: The resilience concepts are structured in a functional hierarchy  Goals -&gt; Objectives -&gt; Techniques -&gt; implementation approaches. One technique may support several objectives, and one objective may contribute to several goals.
Evidence section(s): Executive Summary and Section 4.1 Elements of cyber resilience defining Goals, Objectives, Techniques, and Implementation Approaches</t>
  </si>
  <si>
    <t>Method / principle / process: The framework provides component distinction by assigning each concept a specific role and level of abstraction e.g. goals define broad misison outcomes and the desired end state of the cyber resilience, objectives define more specific outcomes and transitions goals towards engineering, techniques describe engineering methods used in achieving gthe objectives and the implementation aproaches describe concrete ways to realize the techniques.
Evidence section(s): Sections 2. Cyber resiliency: characterization as work in progress, Section 3 Situating Cyber Resilience Engineering and Section 4 Cyber Resiliency Engineering Framework</t>
  </si>
  <si>
    <t>Method / principle / process: The framework defines resilience in terms of capabilities or functions that must be achieved.
Evidence section(s): Section 4 Cyber Resiliency Enginering Framework for the Goal/Objectives definitions and technique-to-objective mappings; evaluation/discussion of mission-effectiveness and resiliency outcomes.</t>
  </si>
  <si>
    <t>Method / principle / process: The framework is descriptive and not prescriptive, meaning that it states desired results without prescribing one mandatory implementation approach.
Evidence section(s): Section 4 Cyber Resiliency Enginering Framework for the Goal/Objectives definitions</t>
  </si>
  <si>
    <t>Method / principle / process: The framework does not provide explicit metrics, quantitative indicators, or observable performance measures.
Evidence section(s): Annex B1 Resilience engineering with sub annex B1.2 Resilience Engineering and metrics</t>
  </si>
  <si>
    <t>Method / principle / process: The framework specifies clearly the target states (via the goals), acceptance conditions, or success criteria.
Evidence section(s): Section 4 Cyber Resiliency Enginering Framework for the Goal/Objectives definitions and technique-to-objective mappings; evaluation/discussion of mission-effectiveness and resiliency outcomes.</t>
  </si>
  <si>
    <t>Method / principle / process: The framework does not directly address preparation, planning, hardening, or readiness before disruption. It is rather implicit assumption, incorporated in its goals.
Evidence section(s): Section 4, subsection 4.1.1. 1 Anticipate goal and its supporting objectives/techniques.</t>
  </si>
  <si>
    <t>Method / principle / process: The framework covers detection through monitoring, intrusion detection and recognition of potential adverse conditions. The assessment is covered by Monitoring and Damane Assessment, The analysis is civered by Sensor Fusion and Analysis, and Malware and Forensics Analysis. Diagnosis is distributed across damage assessment, sensor fusion and forensics analysis.
Evidence section(s): Section 4, subsection 4.1.1.1 Anticipate goal and Section 4.1.2.1 Understand objective and Section 4.1.3.1.2 Analytic Monitoring-related techniques.</t>
  </si>
  <si>
    <t>Method / principle / process: The framework covers actions during an incident via Adaptive Response and Coordinated Protection.  After an incident is covered by Reconstitute (restores the system's functions), and Transform and rearchitect (lessons learned)
Evidence section(s): Section 4, subsection 4.1.1.2 Withstand goal and Sections 4.1.2.4 Continue/ 4.1.2.5 Constrain/ 4.1.2.6 Reconstitute-related techniques.</t>
  </si>
  <si>
    <t>Method / principle / process: The framework covers recovery by the "Recover" and "Adapt"  top level goals.
Evidence section(s): Section 4, subsections 4.1.1.3 Recover and 4.1.1.4 Evolve goals and supporting objectives/techniques.</t>
  </si>
  <si>
    <t>Method / principle / process: CREF integrates engineering design with operational performance and mission support
Evidence section(s): framework techniques and implementation approaches tied to system/mission engineering described in sections 4.1.3.1.1 to 4.1.3.1.14</t>
  </si>
  <si>
    <t>Method / principle / process: The framework is cyber centered, addressing threats, controls, and cyber resilience techniques
Evidence section(s): Section 4.1 Elements of cyber resiliency: cyber-resiliency Goals/Objectives/Techniques definitions.</t>
  </si>
  <si>
    <t>Method / principle / process: The framework includes incident-management activities such as detection, containment, response and recovery
Evidence section(s): Section 4.1 Elements of cyber resiliency: cyber-resiliency Goals/Objectives:  Anticipate, Withstand, Recover and Evolve goal mappings relevant to detection, containment, restoration and adaptation;  Section B4.1 Survivability</t>
  </si>
  <si>
    <t>Method / principle / process: The framework uses risk identification, risk assessment, prioritization, treatment and governance concepts. However, CREF is not a risk management process
Evidence section(s): Section 3.3 Mission assurance Enginering / Section 2.1.1 Cyber Threat (definitions) / risk-informed trade-off discussion in the framework.</t>
  </si>
  <si>
    <t>Method / principle / process: CREF goals, objectives, techniques, and implementation approaches are general enough to apply across government, defense, critical infrastructure and commercial enterprises
Evidence section(s): Section 2 Cyber Resiliency:Characterizaiton as work in Progress: scope/applicability discussion for CREF constructs.</t>
  </si>
  <si>
    <t>Method / principle / process: CREF provides a flexible level of details by using both high level planning (goals, objectives) and low level engineering (techniques and procedures)
Evidence section(s): Section 4.1 Elements of cyber resiliency:  Goal → Objective → Technique → Implementation Approach decomposition and mappings.</t>
  </si>
  <si>
    <t>Method / principle / process: CREF is designed to be evolved,. It includes Adapt/Evolve as a top level goal, supported by objectives such as Transform and Re-architect
Evidence section(s): Section 4.1.1.4 Evolve goal and its supporting objectives/techniques.</t>
  </si>
  <si>
    <t xml:space="preserve">Method / principle / process: Logically groups the concepts slong intersecting dimensions (segments: space, ground, terminal/user)
Evidence section(s): Sections 4: Protection Assessment approach and Section 6 Translating mitigation objectives into an assured architecture implmentation. In addition, these are supported by concepts like Tactical SATCOM architecture decomposition and the Protection Evaluation Framework method; </t>
  </si>
  <si>
    <t>Method / principle / process: It provides a structured analytical sequence rathen than a concept hierarchy (e.g. taxonomy) with clear parent- child relations
Evidence section(s): Section 6 Translating mitigation objectives into an assured archiotecture implementation 
Tactical SATCOM architecture decomposition and the Protection Evaluation Framework method;</t>
  </si>
  <si>
    <t>Method / principle / process: The paper distinhuishes the components via architectural decomposition. It evaluates the different SATCOM network elements separately and associates each element with attack types, vulnerabilities, consequences and risks, and protection objectives.
Evidence section(s): Section 4. Protection Assessment approach and especially Figure 1.</t>
  </si>
  <si>
    <t xml:space="preserve">Method / principle / process: The paper organizes capabilities by folowing chain: operational need, architecture element, threat and vulnerability, protection objective, required capability. However, it does not privide a formal catalog for capabilities.
Evidence section(s): Section V: preliminary threat assessment and mitigation objectives;  
In addition Figures 3 and 4 </t>
  </si>
  <si>
    <t>Method / principle / process: Partially because it is neutral at architectural evaluation level as it describes elements such as threats, vulnerabilites, risks, etc but then it limits all of the above to the tactical SATCOM as target
Evidence section(s): Section IV Protection assessment approach</t>
  </si>
  <si>
    <t>Method / principle / process: It specifies ways of producing measurable and assesable outputs (e.g. number of vulnerabilities affecting each element space, group or terminal element)
Evidence section(s): Section IV Protection assessment approach and Section 6 translating mitigation objectives into an asured architecture implementation</t>
  </si>
  <si>
    <t>Method / principle / process: Protection objectives are identified (mainly at architectural level) but does not set a pass/fail condition, does not have performance values or other scoring types
Evidence section(s): Section IV Protection assessment approach and Section 6 translate mitigation objectives into an asured architecture implementation</t>
  </si>
  <si>
    <t>Method / principle / process: Preparation is described but at architectural level. No operational preparation is described or implied.
Evidence section(s): Sections iV, V and VI formulate and describe the protection-objective definition in the framework method.</t>
  </si>
  <si>
    <t>Method / principle / process: Outside scope as main target is architecture of protection-evaluation
Evidence section(s): attack/vulnerability characterization and likelihood/ease-of-attack assessment in the protection-evaluation method. However, there is an  insignificant contribution on this mater.</t>
  </si>
  <si>
    <t>Method / principle / process: The paper identifies an architecture that can respond (resist or limit the cyberattacks) but does not explicitly define an operational incident-response process
Evidence section(s):  Sections iV, V and VI partially formulate the protection-measure evaluation and architecture-level mitigation comparison.</t>
  </si>
  <si>
    <t>Method / principle / process: Recovery is indirectly addressed through architectural features such as redundant communicaiton, alternative SATCOM resoures, etc, that preserve the SATCOM service. Improvement is also mainly addressed architecturally via evaluation and redesign.
Evidence section(s):  Sections  VI and VII partially formulate the resiliency/protection consequences and architecture assessment discussion.</t>
  </si>
  <si>
    <t>Method / principle / process: Out of scope as the paper is mostly focused on resilient architecture rather than engineering and operationalization
Evidence section(s): none</t>
  </si>
  <si>
    <t>Method / principle / process: The paper is cyber centered, addressing threats, controls, and resilient architectures
Evidence section(s): Section III describes the cyber/physical/electronic threats and vulnerability categories in the evaluation framework.</t>
  </si>
  <si>
    <t>Method / principle / process: Risk management is central to the paper, but narrowly applied to SATCOM and assessed for each architecture element (e.g. ease of likelihood of attack, impact if it succeeds, etc).
Evidence section(s): Section IV Protection assessment approach and Figures 3 and 4 describe the likelihood/ease-of-attack, impact/consequence, and protection-priority assessment in the evaluation framework.</t>
  </si>
  <si>
    <t>Method / principle / process: Limited reuse of architectural components (elements) because of sector-specific threats and vulnerabilities, consequences and impact criteria and protection objectives
Evidence section(s): none.</t>
  </si>
  <si>
    <t>Method / principle / process: In theory yes, because it studies the problem at 3 levels (high level: protection and resiliency of military SATCOM architecture, medium level: protection of the 3 elements, low level; particular vunerabilties associated with cyber, physical or electronic attacks). In practice all is SATCOM specific,
Evidence section(s): Section IV and Fiure 1 describing the architecture → element → vulnerability/threat → protection-measure decomposition.</t>
  </si>
  <si>
    <t>Method / principle / process: Only implicitely implied because of extendable set of attack types, discovered vulnerabilties, etc.  No explicit framework evolution mechanism is defined .
Evidence section(s): Section VII presenting discussions/limitations concerning additional attacks, vulnerabilities and protection measures.</t>
  </si>
  <si>
    <t>Method / principle / process: Security requirements are grouped in 7 Foundational requirements groups (FR1 to FR7)
Evidence section(s): IEC 62443-3-3 Clause 4 (common requirements) and Clauses 5–11 for FR 1–FR 7, including System Requirements (SRs), Requirement Enhancements (REs), and SL-C tables.</t>
  </si>
  <si>
    <t>Method / principle / process: The hierarchy established is Foundational Requirements (FR) -&gt; System requirements (SR) -&gt; Requirement Enhancement (RE) -&gt; Security level assignement
Evidence section(s): IEC 62443-3-3 Clause 4 (common requirements) and Clauses 5–11 for FR 1–FR 7, including System Requirements (SRs), Requirement Enhancements (REs), and SL-C tables.</t>
  </si>
  <si>
    <t>Method / principle / process: Clear distinction of components at system, zone, conduit and requirement level
Evidence section(s): IEC 62443-3-3 Clause 4 (common requirements) and Clauses 5–11 for FR 1–FR 7, including System Requirements (SRs), Requirement Enhancements (REs), and SL-C tables.</t>
  </si>
  <si>
    <t>Method / principle / process: The framework's main purpose is to specify the technical security capabilities that an IACS must provide. The capabilitiea are expressed at several levels: Foundational Reqs, System Reqs, Req Enhancement and capability security level
Evidence section(s): Clauses 5–11: SR/RE conformance requirements and Security Level capability targets (SL-C 1–4).</t>
  </si>
  <si>
    <t>Method / principle / process: Describes the security capabilities and outcomes generally without mentioning vendors, products, OS, LAN techniologies, security tools, protocols, architectures, etc.
Evidence section(s): Clauses 5–11: SR/RE conformance requirements and Security Level capability targets (SL-C 1–4).</t>
  </si>
  <si>
    <t>Method / principle / process: Verifyable via conformance rather than quantitative performance (scoring or metrics)
Evidence section(s): Clauses 5–11: SR/RE conformance requirements and Security Level capability targets (SL-C 1–4).</t>
  </si>
  <si>
    <t>Method / principle / process: Capability security levels act as success conditions for the System Req and Req enhancements.
Evidence section(s): Clauses 5–11: SR/RE conformance requirements and Security Level capability targets (SL-C 1–4).</t>
  </si>
  <si>
    <t>Method / principle / process: Preparation and planning is supported via selecting applicable SRs and Res, and then defining required system capability security lebel SL-C.
Evidence section(s): FR 1 Identification and Authentication Control, FR 2 Use Control, FR 3 System Integrity, FR 5 Restricted Data Flow, and associated SR/RE requirements.</t>
  </si>
  <si>
    <t>Method / principle / process: Support of detection and analysus via SR 6.1 Audit log accessibility and SR6.2 Coninuous monitoring
Evidence section(s): FR 3 System Integrity and FR 6 Timely Response to Events, especially event/audit monitoring SRs.</t>
  </si>
  <si>
    <t>Method / principle / process: Supports response but mainly by specifying technical capabilities that enable timely action and not by a complete incident response process
Evidence section(s): FR 6 Timely Response to Events and relevant FR 5/FR 7 SRs for containment, restriction and availability.</t>
  </si>
  <si>
    <t>Method / principle / process: Recovery is technicall supported by FR 7 Resouce Availability. However the specificaiton does not provide a full recovery plan
Evidence section(s): FR 7 Resource Availability and recovery/backup-related SRs; capability-level requirements in SL-C tables.</t>
  </si>
  <si>
    <t>Method / principle / process: Engineering support via workflow: Target security needs-&gt; applicable SRs and Res -&gt; architecture and control design -&gt; implementation -&gt; testing and conformance assessment. Operational suport via technical capabilities such as user and access management, aidut logging, continuous monitoring, etc.
Evidence section(s): Clauses 5–11 technical system requirements for IACS and their SR/RE implementation requirements.</t>
  </si>
  <si>
    <t>Method / principle / process: Cyber is one of the main topics and is supported by prevent -&gt; protect -&gt; detect -&gt; respond-&gt; maintain and restore operation chain
Evidence section(s): all seven Foundational Requirements (FR 1–FR 7), their SRs/REs, and SL-C definitions.</t>
  </si>
  <si>
    <t>Method / principle / process: Does not define a specific incident response process but supports it via FR6. Timely response to Events (SR6.1, SR 6.2), and SR 2.10
Evidence section(s): FR 6 Timely Response to Events, including event reporting/response SRs, plus supporting audit requirements.</t>
  </si>
  <si>
    <t>Method / principle / process: Risk management supported by risk treatment via SRs and Res, capabiliti security level SL-C . Does not identify threat scenarios, estimate likelihood/consequence , compute residual risk, etc.
Evidence section(s): security-level capability concept and risk-derived selection of required SL-T/SL-C within the IEC 62443 series.</t>
  </si>
  <si>
    <t>Method / principle / process: Adaptable to IACS in civilian irrespective of domain - broad formulation of the FRs, SRs and Res
Evidence section(s): scope/application of system security requirements to IACS zones/conduits and different industrial domains.</t>
  </si>
  <si>
    <t>Method / principle / process: Flexible 3 levels detail: FRs, SRs and RESs. Each level builds details on top of its predecessor, enriching the scope.
Evidence section(s): FR → SR → RE hierarchy and per-requirement Security Level capability columns.</t>
  </si>
  <si>
    <t>Method / principle / process: Modular and able to evolve as part of the IEC 62443 family. SRs and RESs can be satisified with new technologies.
Evidence section(s): technology-neutral SR/RE requirements and capability-level formulation that permits implementation changes over time.</t>
  </si>
  <si>
    <t>Method / principle / process: The paper organizes its concepts into coherent groups: CPS assets and dependencies, vulnerabilities and attack paths, remediation actions and costs, operational resilience, strategic risk, and optimization. These groups are connected through a clear decision process for producing a prioritized remediation plan.
Evidence section(s): Section 1 Introduction describes briefly the System Model / Problem Formulation and the cyber-defense remediation formulation.</t>
  </si>
  <si>
    <t>Method / principle / process: Presents a logical analytical sequence -&gt;system model -&gt; vulnerability and risk evaluation -&gt; resilience impact -&gt; remediation optimization. However it does not establish a formal taxonomy with explicit parent–child relationships. The structure is primarily mathematical and relational rather than hierarchical.
Evidence section(s): Section 1 Introduction touches upon the cyber-defense remediation formulation.</t>
  </si>
  <si>
    <t>Method / principle / process: The model distinguishes system nodes/assets, interdependencies, vulnerabilities, critical operational functions, remediation actions, economic or safety impacts, and risk/resilience measures.
Evidence section(s): Section 2 Architecture distinguish between the system's assets</t>
  </si>
  <si>
    <t>Method / principle / process: The paper is capability-focused because it evaluates the system’s ability to apply cyber-remediation actions while preserving critical CPS operations. It models capabilities such as vulnerability removal, protection of critical nodes, maintenance of operational resilience, and reduction of strategic risk.
Evidence section(s): Section 2 presents the Remediation Optimization Method and Section 3 shows the case-study Evaluation, including resilience, strategic-risk, safety and economic-loss objectives.</t>
  </si>
  <si>
    <t>Method / principle / process: The underlying optimization method is relatively vendor-neutral and can accommodate different vulnerabilities, assets, remediation costs, and operational impacts. However, it is not fully technology- or domain-neutral because its modelling assumptions are tailored to cyber-physical systems
Evidence section(s): Section 2 presents the Remediation Optimization Method and Section 3 presents the case-study Evaluation, including resilience, strategic-risk, safety and economic-loss objectives.</t>
  </si>
  <si>
    <t>Method / principle / process: The method produces quantitative and comparable results. It evaluates factors such as cyber risk, operational resilience, economic or safety loss, remediation cost, and the effects of alternative remediation sequences
Evidence section(s):  Section 2 presents the Remediation Optimization Method and Section 3 presents the case-study Evaluation, including resilience, strategic-risk, safety and economic-loss objectives.</t>
  </si>
  <si>
    <t>Method / principle / process: Success is expressed through the optimization objective: identify a remediation plan that reduces strategic cyber risk while minimizing unacceptable operational disruption or economic and safety loss.
Evidence section(s): Section 2 presents the Remediation Optimization Method and Section 3 presents the case-study Evaluation, including resilience, strategic-risk, safety and economic-loss objectives.</t>
  </si>
  <si>
    <t>Method / principle / process: The paper supports preparation by modelling CPS assets, vulnerabilities, operational dependencies, remediation costs, and potential safety or economic consequences before actions are selected.
Evidence section(s): Section 2 provides the asset/dependency modelling, attack/fault graph construction, vulnerability and remediation-option definition.</t>
  </si>
  <si>
    <t>Method / principle / process: Analysis is represented through vulnerability evaluation, attack-path or risk modelling, asset criticality assessment, and comparison of remediation alternatives. However, the paper does not provide operational detection capabilities such as sensors, continuous monitoring, anomaly detection, alert generation, or incident diagnosis
Evidence section(s): Section 2 provides the attack/fault graph analysis and cyber-risk/operational-impact quantification.</t>
  </si>
  <si>
    <t>Method / principle / process: Response is a central to the paper. The paper selects and prioritizes cyber-defence remediation actions after vulnerabilities or exposures have been identified. It supports decisions about which assets to remediate, the order of execution, and the balance between immediate risk reduction and disruption to CPS operations.
Evidence section(s): Section 2 provides optimization of remediation actions and remediation ordering.</t>
  </si>
  <si>
    <t>Method / principle / process: The remediation plans improve the system’s future security posture by removing or reducing vulnerabilities while preserving operational resilience. Recover is not treated as there is no service restoration, backup recovery or other specific mechanisms
Evidence section(s): Section 2 provides the operational-resilience objective and post-remediation performance/economic/safety evaluation.</t>
  </si>
  <si>
    <t>Method / principle / process: The paper provides strong engineering support through quantitative modelling of CPS assets, vulnerabilities, operational dependencies, remediation actions, safety impacts, and economic losses. It helps engineers compare remediation sequences while preserving operational . Operational support is more limited because it does not define operational workflows and maintenance processes.
Evidence section(s): Section 3 provides CPS asset/dependency model, operational constraints and remediation-action model.</t>
  </si>
  <si>
    <t>Method / principle / process: The approach supports technical response by recommending which remediation actions should be taken and in which order. This is relevant to containment, mitigation, and corrective action following identification of vulnerabilities or compromise. However, it does not define a complete incident-response lifecycle (e.g., detection, declaration, triage, roles, communication, evidence handling, eradication, and post-incident review).
Evidence section(s): Section 2 provides remediation-action optimization as technical mitigation; no complete organizational incident-response workflow.</t>
  </si>
  <si>
    <t>Method / principle / process: Risk management is a core feature. The paper explicitly seeks a prioritized cyber-risk remediation plan that balances strategic risk reduction against operational resilience, economic loss, and safety impacts. It quantitatively compares possible treatments and supports risk-based decision-making.
Evidence section(s): Section 2 provides strategic cyber-risk objective, operational-resilience trade-off, safety/economic impact terms, and optimization.</t>
  </si>
  <si>
    <t>Method / principle / process: Modeling of assets and dependencies, quantification of cyber and operational impacts, construct of attack and fault graphs, and optimization of remediation actions can be transferred to different cyber-physical sectors. However, the models utilized for critical assets are sector specific; same applies to physical process and safety consequences, economic losses, vulnerabilities and remediation constraints. Method is adaptable but not sector neutral
Evidence section(s): Section 3 provides discussion of model parameters/assets/dependencies and applicability beyond the case study.</t>
  </si>
  <si>
    <t>Method / principle / process: The method supports from overall strategic risk and operational resilience to individual assets, attack paths, faults, vulnerabilities, and remediation actions. Analysts can vary model granularity according to available data. However, no formal abstraction levels or procedures to move between the high level and lower tiers.
Evidence section(s): Section 2 starts and Section 3 consolidates the system to  assets/dependencies to  attack/fault paths to vulnerabilities to remediation actions and objective terms.</t>
  </si>
  <si>
    <t>Method / principle / process: The data-driven attack-graph and fault-graph models can be updated when assets, vulnerabilities, threats, dependencies, impacts, or mitigation options change. The paper does not specify a formal versioning, governance, or a continuous improvement process.
Evidence section(s): Section2 provides updateable attack/fault graph and remediation model as assets, vulnerabilities, impacts and options change.</t>
  </si>
  <si>
    <t>Method / principle / process: The paper groups cyber-resiliency concepts into functional sets, including goals, objectives, techniques, implementation approaches, and design principles. It also organizes engineering guidance around system life-cycle processes, risk considerations, adversary effects, and supporting security controls.
Evidence section(s): NIST SP 800-160 Vol. 2 Rev. 1, Ch. 2 cyber-resiliency constructs (Goals, Objectives, Techniques, Approaches, Design Principles) and their mapping tables/figures.</t>
  </si>
  <si>
    <t>Method / principle / process: The paper provides a conceptual progression from high-level outcomes to increasingly concrete engineering mechanisms: goals → objectives → techniques → implementation approaches, with design principles guiding application. The publication then connects these constructs to engineering activities, system life-cycle processes, and controls. Although many relationships are many-to-many rather than strictly parent–child, the levels of abstraction and their roles are clearly differentiated.
Evidence section(s): NIST SP 800-160 Vol. 2 Rev. 1, Ch. 2 cyber-resiliency constructs (Goals, Objectives, Techniques, Approaches, Design Principles) and their mapping tables/figures.</t>
  </si>
  <si>
    <t>Method / principle / process: The paper distinguishes different concept types and system concerns. Goals describe broad resiliency outcomes; objectives describe more specific outcomes; techniques define general engineering methods; approaches describe concrete realizations; and design principles guide architectural decisions. It also separates systems from system elements, services, missions, stakeholders, threats, controls, and life-cycle activities, while preserving mappings among them.
Evidence section(s): NIST SP 800-160 Vol. 2 Rev. 1, Ch. 2 cyber-resiliency constructs (Goals, Objectives, Techniques, Approaches, Design Principles) and their mapping tables/figures.</t>
  </si>
  <si>
    <t>Method / principle / process: The paper is capability-focused. Cyber resiliency is defined as the ability of systems to anticipate, withstand, recover from, and adapt to adverse conditions, attacks, or compromises. Its objectives, techniques, approaches, design principles, and supporting controls describe capabilities that systems should possess to sustain mission or business functions in contested environments.
Evidence section(s): Ch. 2 Goals/Objectives and Ch. 3 application of cyber-resiliency constructs to systems security engineering; Appendix E control/construct mappings.</t>
  </si>
  <si>
    <t>Method / principle / process: The solution is largely vendor-, product-, technology-, and development-method neutral. Stakeholders may select and adapt the artefacts to their own technical, operational, and threat environments, and apply them to new, upgraded, or repurposed systems. The study specifies desired resilience outcomes and engineering strategies without applying it to a product or class of products.
Evidence section(s): Ch. 2 Goals/Objectives and Ch. 3 application of cyber-resiliency constructs to systems security engineering; Appendix E control/construct mappings.</t>
  </si>
  <si>
    <t>Method / principle / process: The publication supports measurement by defining objectives, intended effects, engineering analyses, system requirements, supporting controls, and mappings that can be translated into assessment evidence and resilience metrics. However it does not provide the metrics or any scoring model
Evidence section(s): Ch. 2 Goals/Objectives and Ch. 3 application of cyber-resiliency constructs to systems security engineering; Appendix E control/construct mappings.</t>
  </si>
  <si>
    <t>Method / principle / process: Success is clearly expressed at the outcome level: mission or business objectives should remain achievable despite cyber adversity, and systems should be able to anticipate, withstand, recover, and adapt. However, it does not establish universal pass/fail conditions or numerical success thresholds.
Evidence section(s): Ch. 2 Goals/Objectives and Ch. 3 application of cyber-resiliency constructs to systems security engineering; Appendix E control/construct mappings.</t>
  </si>
  <si>
    <t>Method / principle / process: Preparation is a major focus. The publication emphasizes anticipation through mission and business analysis, threat-informed engineering, identification of critical assets and dependencies, architectural planning, risk analysis, requirements definition, and selection of cyber-resiliency techniques and controls across the system life cycle. The Anticipate goal and the Understand and Prepare objectives explicitly support readiness before adverse events occur.
Evidence section(s): Anticipate goal; Ch. 3 engineering considerations for requirements, architecture/design and preparation before adversity.</t>
  </si>
  <si>
    <t>Method / principle / process: Engineering support is central to the publication. It integrates cyber resiliency into systems security engineering and system life-cycle processes, including requirements, architecture, design, implementation, verification, validation, operation, maintenance, and evolution. Operational support is also substantial because the techniques address monitoring, adaptation, continuity, reconfiguration, restoration, and operation under adversity.
Evidence section(s): Ch. 3 systems security engineering application of cyber-resiliency constructs across the system life cycle.</t>
  </si>
  <si>
    <t>Method / principle / process: Cyber adversity is the publication’s core subject. It provides goals, objectives, techniques, implementation approaches, design principles, and control mappings for developing systems that can anticipate, withstand, recover from, and adapt to cyber attacks, compromises, and other adverse conditions
Evidence section(s): Ch. 2 cyber-resiliency Goals/Objectives/Techniques/Approaches and threat-focused design principles.</t>
  </si>
  <si>
    <t>Method / principle / process: The publication strongly supports incident response through analytic monitoring, damage assessment, adaptive response, containment, segmentation, isolation, continuation of critical functions, reconstitution, and coordinated protection. However, it is primarily an engineering framework for building response-capable systems rather than a complete organizational incident-response study.
Evidence section(s): Ch. 2–3 techniques supporting monitoring, damage assessment, containment, continuation, reconstitution and adaptation.</t>
  </si>
  <si>
    <t>Method / principle / process: Risk management is integrated by linking it to the NIST Risk Management Framework, threat modelling, mission and business risk, criticality analysis, risk-informed trade-offs, security controls, and residual risk. Broader enterprise risk governance is supplied by companion standards such as NIST SP 800-37.
Evidence section(s): Ch. 3 risk-informed engineering trade-offs and Appendix E mappings to security controls / RMF-related engineering.</t>
  </si>
  <si>
    <t>Method / principle / process: It supports multiple levels of abstraction, from high-level goals and objectives to techniques, implementation approaches, design principles, controls, and detailed system life-cycle engineering support
Evidence section(s): Goal → Objective → Technique → Approach → Design Principle / control mapping levels.</t>
  </si>
  <si>
    <t>Method / principle / process: Evolving the framework is an explicit concern. The framework includes Adapt as a top-level goal and Transform and Re-Architect as objectives. It defines adaptability as accommodating changes in threats, missions, systems, and technologies without major programmatic impact.
Evidence section(s): Adapt goal, especially Transform and Re-Architect, plus life-cycle tailoring/evolution guidance.</t>
  </si>
  <si>
    <t>Method / principle / process: The framework is explicitly organized into three connected parts: a hierarchy of national-security interests, mission and operational functions, and risk and security analysis at the technical ICT level.
Evidence section(s): Sections III–V presenting the multidisciplinary resilience perspectives and mixed-critical ICS model; framework figures connecting design, communication/networking and control perspectives.</t>
  </si>
  <si>
    <t>Method / principle / process: It establishes top-down traceability from national-security interests through defence tasks and Fundamental National Functions to capabilities, missions, critical tasks, supporting functions and ICT systems.
Evidence section(s): Sections III–V presenting the multidisciplinary resilience perspectives and mixed-critical ICS model; framework figures connecting design, communication/networking and control perspectives.</t>
  </si>
  <si>
    <t>Method / principle / process: The framework distinguishes values and interests, national functions, military capabilities, missions, operational tasks, organizational and technical functions, ICT systems, human actors, dependencies and control loops.
Evidence section(s): Sections III–V presenting the multidisciplinary resilience perspectives and mixed-critical ICS model; framework figures connecting design, communication/networking and control perspectives.</t>
  </si>
  <si>
    <t>Method / principle / process: Capability is the principal organizing concept. The framework traces how military and ICT capabilities support missions and national-security interests and uses mission criticality to prioritize security measures.
Evidence section(s): Sections III–V discussion of resilience capabilities/performance under criticality changes and the paper’s synthesis/conclusion.</t>
  </si>
  <si>
    <t>Method / principle / process: The framework is deliberately pragmatic and method agnostic. It allows analysts to select suitable methods at each level according to purpose, system characteristics, available resources and expertise.
Evidence section(s): Sections III–V discussion of resilience capabilities/performance under criticality changes and the paper’s synthesis/conclusion.</t>
  </si>
  <si>
    <t>Method / principle / process: It supports structured criticality, complexity and risk assessments, but does not define a standard quantitative metric, scoring formula or common measurement scale. Results are mainly qualitative or context-specific.
Evidence section(s): Sections III–V discussion of resilience capabilities/performance under criticality changes and the paper’s synthesis/conclusion.</t>
  </si>
  <si>
    <t>Method / principle / process: The desired condition is an appropriate level of security that protects mission objectives and balances residual risk with cost, safety, legal and societal concerns. Universal thresholds or pass/fail criteria are not defined.
Evidence section(s): Sections III–V discussion of resilience capabilities/performance under criticality changes and the paper’s synthesis/conclusion.</t>
  </si>
  <si>
    <t>Method / principle / process: Preparation is strongly supported through strategic planning, capability mapping, mission analysis, critical-task identification, interdisciplinary information elicitation and prioritization of security measures.
Evidence section(s): system-design and communication/network preparation concepts in Sections III–V.</t>
  </si>
  <si>
    <t>Method / principle / process: Analysis is central through hierarchical modelling, control-loop analysis, complexity assessment, dependency analysis and security risk assessment. Technical event-detection mechanisms are not specified.
Evidence section(s): monitoring, criticality assessment and resilience-state awareness discussed across the multidisciplinary perspectives.</t>
  </si>
  <si>
    <t>Method / principle / process: The framework supports risk-informed crisis and security decision-making, but it does not define concrete incident-response actions, technical containment measures or operational response procedures.
Evidence section(s): runtime adaptation, control and resource/communication reconfiguration mechanisms in Sections III–V.</t>
  </si>
  <si>
    <t>Method / principle / process: It promotes robust and resilient measures and repeated risk governance as systems change, but detailed recovery, restoration and formal lessons-learned processes are outside the proposed framework.
Evidence section(s): adaptation/learning and future-system resilience discussion, including the conclusion/future-work section.</t>
  </si>
  <si>
    <t>Method / principle / process: Operational and strategic support is strong through mission, task and capability analysis. Engineering support is partial because technical ICT requirements are traced, but detailed system-design and implementation guidance is not provided.
Evidence section(s): system-design, control and operational perspectives in Sections III–V.</t>
  </si>
  <si>
    <t>Method / principle / process: The framework can inform preparedness and crisis governance, but does not provide an incident-response lifecycle, playbooks, responder roles, containment, eradication or forensic procedures.
Evidence section(s): runtime resilience and adaptation mechanisms; no dedicated organizational incident-response process.</t>
  </si>
  <si>
    <t>Method / principle / process: Risk governance is the framework's primary purpose. It links mission criticality, system dependencies, complexity, security assessment, prioritization, residual-risk acceptance and an appropriate level of security.
Evidence section(s): criticality, dependencies, uncertainty and multidisciplinary resilience trade-off discussion.</t>
  </si>
  <si>
    <t>Method / principle / process: Although developed for defence, the authors explicitly state that comparable hierarchies can be developed for energy, health, electronic communications, finance and other organizations.
Evidence section(s): cross-domain multidisciplinary framing and discussion of applying the concepts to mixed-critical ICS.</t>
  </si>
  <si>
    <t>Method / principle / process: It supports analysis from national policy and strategic interests down to capabilities, missions, tasks, functions and technical ICT systems, with methods chosen separately at each abstraction level.
Evidence section(s): multiple abstraction/perspective levels across system design, communication/network and control.</t>
  </si>
  <si>
    <t>Method / principle / process: The framework addresses dynamic complexity, encourages iteration and is intended for further development and testing in new contexts, although it does not define formal versioning or maintenance governance.
Evidence section(s): future-work/adaptive-learning discussion and mechanisms for changing criticality and system conditions.</t>
  </si>
  <si>
    <t>Method / principle / process: Concepts are coherently grouped around the UGV system and subsystems, physical or logical components, expected behaviours and capabilities, process-graph operating units and flows, possible system states, and the resulting resilience index.
Evidence section(s): Section 3 (six-step methodology) and Section 4 (water-treatment/distribution case-study instantiation).</t>
  </si>
  <si>
    <t>Method / principle / process: There is a logical progression from components and expected behaviour to a P-Graph, feasible system states, capability level and resilience calculation, but no explicit multi-level conceptual hierarchy is defined.
Evidence section(s): Section 3 (six-step methodology) and Section 4 (water-treatment/distribution case-study instantiation).</t>
  </si>
  <si>
    <t>Method / principle / process: The method distinguishes system components, operating units, input and output information, virtual components, autonomous and non-autonomous states, subsystem capability levels and the overall resilience measure.
Evidence section(s): Section 3 (six-step methodology) and Section 4 (water-treatment/distribution case-study instantiation).</t>
  </si>
  <si>
    <t>Method / principle / process: The assessment is capability focused: resilience is calculated for a specified level of UGV or subsystem capability based on the combinations of component states that can still provide the required output.
Evidence section(s): Section 5 (simulation outcomes, validation/significance and decision-support results).</t>
  </si>
  <si>
    <t>Method / principle / process: The paper defines a normalized resilience index between 0 and 1, calculated from the number of system states that preserve a selected capability relative to the total possible component states.
Evidence section(s): Section 5 (simulation outcomes, validation/significance and decision-support results).</t>
  </si>
  <si>
    <t>Method / principle / process: The method supports design-time preparation by identifying dependencies, modelling alternative component states and comparing subsystem resilience before deployment. It does not provide organizational preparedness planning.
Evidence section(s): Section 3 methodology steps for system definition, scenario construction and baseline modelling; Section 4 case setup.</t>
  </si>
  <si>
    <t>Method / principle / process: Resilience analysis is explicit through process-graph modelling and enumeration of operational states. Live fault or cyber-event detection, diagnosis and monitoring mechanisms are not addressed.
Evidence section(s): Section 3–4 attack/scenario analysis and model-based evaluation of disruption effects.</t>
  </si>
  <si>
    <t>Method / principle / process: The paper assesses whether capabilities remain available under component-state changes, but it does not define response actions, reconfiguration policies, containment or incident-handling procedures.
Evidence section(s): Section 3–4 scenario/intervention modelling and resilience-response analysis.</t>
  </si>
  <si>
    <t>Method / principle / process: The method can guide design improvement by identifying weak dependencies and comparing more resilient architectures. It does not model restoration trajectories, recovery time or a continuous improvement cycle.
Evidence section(s): Section 5 post-disruption resilience trajectories/results and Section 6 future applications/improvements.</t>
  </si>
  <si>
    <t>Method / principle / process: Engineering support is strong for system decomposition, dependency modelling and quantitative design comparison. Operational-process support is limited because it does not define operating procedures or maintenance workflows.
Evidence section(s): Sections 3–4 system/process model and operational water-treatment/distribution case.</t>
  </si>
  <si>
    <t>Method / principle / process: No incident-response process is specified. The model evaluates retained capability under component failures or losses but does not address detection, containment, eradication, coordination or recovery actions.
Evidence section(s): Sections 3–5 attack-effect and recovery analysis; no complete incident-handling procedure.</t>
  </si>
  <si>
    <t>Method / principle / process: It provides quantitative evidence relevant to risk-informed design by relating component-state combinations to mission capability, but it does not define likelihood, risk ownership, treatment selection or governance.
Evidence section(s): Sections 3–5 scenario/consequence/resilience analysis supporting risk-informed decisions.</t>
  </si>
  <si>
    <t>Method / principle / process: The P-Graph method is described as generalizable to complete UGV systems and subsystems and may transfer to other engineered systems, but substantial domain-specific component and behaviour modelling would be required.
Evidence section(s): Section 6 future applications and extension to other systems/use cases.</t>
  </si>
  <si>
    <t>Method / principle / process: It can be applied at whole-system or subsystem level and can model individual components and partial capability states, giving meaningful flexibility in analytical granularity.
Evidence section(s): Section 3 six-step methodology plus Section 4 detailed model/scenario instantiation.</t>
  </si>
  <si>
    <t>Method / principle / process: Models can be revised when components, dependencies or required capabilities change, but the paper does not define a formal evolution, governance or continuous-maintenance process.
Evidence section(s): Section 6 future applications and further methodological improvements.</t>
  </si>
  <si>
    <t>Method / principle / process: METRICS organizes resilience evaluation into coherent elements: an ICS environment, evaluation scenarios, cyberattacks, countermeasures, interventions, observations and user-defined metrics. These elements are combined into repeatable measurement campaigns.
Evidence section(s): Section 3 System Model and Section 4 Learning by Imitating.</t>
  </si>
  <si>
    <t>Method / principle / process: The methodology has a clear workflow from environment and scenario configuration through attack and countermeasure execution to measurement and evaluation, but it does not define a formal multi-level taxonomy of resilience concepts.
Evidence section(s): Section 3 System Model and Section 4 Learning by Imitating.</t>
  </si>
  <si>
    <t>Method / principle / process: The method distinguishes the testbed or ICS environment, scenario description, attacks, countermeasures, manual and automated interventions, domain-agnostic measures and domain-specific metrics, each with a separate evaluation role.
Evidence section(s): Section 3 System Model and Section 4 Learning by Imitating.</t>
  </si>
  <si>
    <t>Method / principle / process: The methodology focuses on the capability to configure, execute and compare resilience experiments, including the ability of countermeasures and interventions to preserve or restore ICS operation under cyberattack.
Evidence section(s): Section 5 Evaluation.</t>
  </si>
  <si>
    <t>Method / principle / process: METRICS is designed to complement heterogeneous ICS testbeds and explicitly offers domain-agnostic evaluation capabilities, while allowing users to add domain-specific metrics and scenarios.
Evidence section(s): Section 5 Evaluation.</t>
  </si>
  <si>
    <t>Method / principle / process: It is measurement centred and produces comparable experimental observations and resilience metrics from configured attack and countermeasure campaigns; domain-specific quantitative measures can be added by the user.
Evidence section(s): Section 5 Evaluation.</t>
  </si>
  <si>
    <t>Method / principle / process: Success can be assessed by whether the selected countermeasures and interventions maintain or restore the chosen performance measures and by comparison of metric values across repeated scenarios.
Evidence section(s): Section 5 Evaluation.</t>
  </si>
  <si>
    <t>Method / principle / process: Preparation is strongly supported through advance definition of the environment, attacks, countermeasures, interventions, metrics and repeatable measurement campaigns before testing begins.
Evidence section(s): Section 3 plant/local-remote-controller model and training-data setup in Section 4.</t>
  </si>
  <si>
    <t>Method / principle / process: Detection and analysis are strongly supported in the evaluation setting through observation of attack effects, collection of measurements and systematic comparison of system behaviour and countermeasure performance.
Evidence section(s): Section 4 black-box learning/behavior prediction used to recognize or compensate loss/attack effects.</t>
  </si>
  <si>
    <t>Method / principle / process: Response is represented through configurable manual and automatic interventions and countermeasures that can be activated during an experimental cyberattack. It does not define organizational incident-response governance.
Evidence section(s): Section 4 self-piloting/imitative controller substitution mechanism.</t>
  </si>
  <si>
    <t>Method / principle / process: Recovery can be measured by observing restoration of system performance after attacks and interventions. Improvement is supported by comparing mechanisms and refining designs, though no formal continuous-improvement lifecycle is prescribed.
Evidence section(s): Section 5 evaluation of continued/restored plant operation and Section 6 conclusion.</t>
  </si>
  <si>
    <t>Method / principle / process: Engineering support is strong because METRICS structures testbed configuration, scenario execution, measurement and comparison of security mechanisms. Operational support is mainly experimental rather than a full production-operations method.
Evidence section(s): Section 3 System Model and Section 5 emulated industrial-control-process evaluation.</t>
  </si>
  <si>
    <t>Method / principle / process: Cyberattack resilience of industrial control systems is the central focus, including attack scenarios, security mechanisms, interventions and cyber-physical performance effects.
Evidence section(s): attack/failure motivation and resilience mechanism evaluated in Sections 3–5.</t>
  </si>
  <si>
    <t>Method / principle / process: It supports technical incident-response experimentation through attacks, countermeasures and interventions, but does not specify roles, escalation, communications, evidence handling or organizational playbooks.
Evidence section(s): technical controller substitution/continuity mechanism in Section 4; no organizational incident-response process.</t>
  </si>
  <si>
    <t>Method / principle / process: The methodology supplies evidence for risk-informed selection of countermeasures, but it is primarily a resilience-testing method and does not provide a complete risk-identification, evaluation, ownership and acceptance process.
Evidence section(s): resilience under controller compromise/failure evaluated experimentally rather than through formal risk management.</t>
  </si>
  <si>
    <t>Method / principle / process: It explicitly provides domain-agnostic evaluation capabilities and can be used with different ICS testbeds, while domain-specific metrics and system models are supplied by the user.
Evidence section(s): Section 3 black-box abstraction and Section 6 applicability discussion.</t>
  </si>
  <si>
    <t>Method / principle / process: Users can work at campaign, scenario, attack, countermeasure, intervention and individual-metric level, giving flexible experimental granularity.
Evidence section(s): plant to local/remote controller to learned model to self-piloting controller levels in Sections 3–4.</t>
  </si>
  <si>
    <t>Method / principle / process: New attacks, countermeasures, interventions, testbeds and metrics can be incorporated as threats and technologies change, although formal governance of methodology revisions is not defined.
Evidence section(s): Section 4 learning model can be retrained; Section 6 conclusion/future direction.</t>
  </si>
  <si>
    <t>Method / principle / process: The paper does not appear to define incident-response roles, detection-to-containment workflows, eradication, communications or recovery playbooks.
Evidence section(s): technical evidence for remediation/response; no dedicated incident command/forensics workflow.</t>
  </si>
  <si>
    <t>Method / principle / process: The paper groups concepts around a cyber-resilience model of an information-infrastructure object, the quality of information used for CPES management, resilience metrics and an algorithm for calculating their values.
Evidence section(s): Section 3. Mission-Based Cybersecurity Test and Evaluation Plan in Connection with RMF; Mission-based cybersecurity T&amp;E methodology section and its mapping to RMF; and Figure 3 .</t>
  </si>
  <si>
    <t>Method / principle / process: There is a logical sequence from object modelling and information-quality factors to metric calculation and assessment, but the publication does not appear to define a broad, explicit hierarchy of resilience concepts.
Evidence section(s): Section 3. Mission-Based Cybersecurity Test and Evaluation Plan in Connection with RMF: Mission-based cybersecurity T&amp;E methodology section and its mapping to RMF; and Figure 3</t>
  </si>
  <si>
    <t>Method / principle / process: It distinguishes the CPES information-infrastructure object, information and its quality, adverse cyber effects, resilience characteristics, individual metrics and the calculation algorithm.
Evidence section(s): Section 3. Mission-Based Cybersecurity Test and Evaluation Plan in Connection with RMF: Mission-based cybersecurity T&amp;E methodology section and its mapping to RMF; and Figure 3</t>
  </si>
  <si>
    <t>Method / principle / process: The approach focuses on the capability of an information-infrastructure object to continue providing information of sufficient quality for cyber-physical energy-system management under adverse cyber conditions.
Evidence section(s): Section 4. Simulation of Virtual “CAS Mission Support System”; case-study/evaluation section using mission impact and cybersecurity T&amp;E results to support RMF decisions.</t>
  </si>
  <si>
    <t>Method / principle / process: Quantification is the main purpose: the paper develops an algorithm to calculate cyber-resilience metric values while accounting for the quality of information used in CPES management.
Evidence section(s): Section 4. Simulation of Virtual “CAS Mission Support System”;  case-study/evaluation section using mission impact and cybersecurity T&amp;E results to support RMF decisions.</t>
  </si>
  <si>
    <t>Method / principle / process: Success is represented by calculated resilience and information-quality values that indicate whether the infrastructure continues to support acceptable management of the energy system; exact acceptance thresholds remain context dependent.
Evidence section(s): Section 4. Simulation of Virtual “CAS Mission Support System”;  case-study/evaluation section using mission impact and cybersecurity T&amp;E results to support RMF decisions.</t>
  </si>
  <si>
    <t>Method / principle / process: Preparation is supported indirectly by defining an assessment model and calculating baseline or scenario-based resilience metrics, but detailed planning, hardening and preparedness procedures are not described.
Evidence section(s): Section 3. Mission-Based Cybersecurity Test and Evaluation Plan in Connection with RMF and Figure 3; mission definition, mission-task decomposition, system-layer modelling and cybersecurity test planning.</t>
  </si>
  <si>
    <t>Method / principle / process: Analysis is central through metric calculation and evaluation of information quality under cyber effects. Operational detection, monitoring and diagnosis mechanisms are not clearly specified.
Evidence section(s): Section 3. Mission-Based Cybersecurity Test and Evaluation Plan in Connection with RMF and Figure 3; and Section 4.4 Simulated Penetration based on Rules of Engagement; penetration/attack simulation, vulnerability identification and mission-impact analysis.</t>
  </si>
  <si>
    <t>Method / principle / process: The approach measures resilience but does not clearly define response actions, containment strategies, control interventions or incident-response workflows.
Evidence section(s): Section 3. Mission-Based Cybersecurity Test and Evaluation Plan in Connection with RMF and Figure 3; and Section 4.5 Summary of Simulation Results; use of T&amp;E findings to select/remediate controls and reduce mission impact.</t>
  </si>
  <si>
    <t>Method / principle / process: Metric results can guide improvement and comparison of infrastructure designs. Recovery processes, restoration actions and a formal continuous-improvement cycle are not clearly developed.
Evidence section(s): Section 4.5 Summary of Simulation Results; feedback of T&amp;E results into RMF control improvement and reassessment.</t>
  </si>
  <si>
    <t>Method / principle / process: Engineering support is provided through the resilience model and calculation algorithm for CPES information infrastructure. Operational procedural support is limited.
Evidence section(s): Section 4.3. Attack Surface-Centered Vulnerability Analysis and Evaluation (Simulation); weapon-system mission/system modelling, cyber-range/simulation and T&amp;E workflow.</t>
  </si>
  <si>
    <t>Method / principle / process: Cyber resilience of information infrastructure supporting energy-system operation is the central subject, including cyber impacts on information quality.
Evidence section(s): Section 4.3. Attack Surface-Centered Vulnerability Analysis and Evaluation (Simulation); attack surface, vulnerabilities, penetration simulation and security-control evaluation.</t>
  </si>
  <si>
    <t>Method / principle / process: The metrics can support risk-informed comparison and prioritization, but the publication is an assessment method rather than a complete risk-management process.
Evidence section(s): Section 4.5. Summary of Simulation Results and Section 5. Conclusions; explicit linkage of mission-based T&amp;E evidence to RMF risk assessment, control selection and authorization.</t>
  </si>
  <si>
    <t>Method / principle / process: The metric concept may transfer to other information-dependent CPS sectors, but the model must be redefined for sector-specific information quality, operational functions and consequences.
Evidence section(s): Section 5. Conclusions; methodology discussion on reuse for different weapon-system missions/scenarios.</t>
  </si>
  <si>
    <t>Method / principle / process: It can assess individual information-infrastructure objects and aggregate resilience characteristics, but explicit multiple abstraction levels are limited.
Evidence section(s): Figures 4, 5 and 6 in Section 3: mission to tasks/functions to  system layers/nodes to attack surfaces/vulnerabilities to T&amp;E results.</t>
  </si>
  <si>
    <t>Method / principle / process: The model and algorithm can be updated for new objects, information-quality parameters and cyber scenarios, although no formal evolution process is specified.
Evidence section(s): Section 3:  iterative T&amp;E/RMF feedback as threats, systems and test evidence change.</t>
  </si>
  <si>
    <t>Method / principle / process: Concepts are coherently grouped around the UGV system and subsystems, physical or logical components, expected behaviours and capabilities, process-graph operating units and flows, possible system states, and the resulting resilience index.
Evidence section(s): Section 2 Method;  resilience-quantification methodology, UGV system model, indicator/metric definition, and Section 3 Results and discussion for case-study results.</t>
  </si>
  <si>
    <t>Method / principle / process: There is a logical progression from components and expected behaviour to a P-Graph, feasible system states, capability level and resilience calculation, but no explicit multi-level conceptual hierarchy is defined.
Evidence section(s): Section 2 Method; resilience-quantification methodology, UGV system model, indicator/metric definition, and Section 3 Results and discussion for case-study results.</t>
  </si>
  <si>
    <t>Method / principle / process: The method clearly distinguishes system components, operating units, input and output information, virtual components, autonomous and non-autonomous states, subsystem capability levels and the overall resilience measure.
Evidence section(s): Section 2 Method; resilience-quantification methodology, UGV system model, indicator/metric definition, and Section 3 Results and discussion for case-study results.</t>
  </si>
  <si>
    <t>Method / principle / process: METRICS organizes resilience evaluation into coherent elements: an ICS environment, evaluation scenarios, cyberattacks, countermeasures, interventions, observations and user-defined metrics. These elements are combined into repeatable measurement campaigns.
Evidence section(s): : Section 3: METRICS: A Cybersecurity Evaluation Methodology for ICSs; methodology section defining the resilience-testing workflow, metric definitions, experiment design, and Section 4 Use Case: METRICS for Power Grids for ICS testbed/case-study results.</t>
  </si>
  <si>
    <t>Method / principle / process: The methodology has a clear workflow from environment and scenario configuration through attack and countermeasure execution to measurement and evaluation, but it does not define a formal multi-level taxonomy of resilience concepts.
Evidence section(s): : Section 3: METRICS: A Cybersecurity Evaluation Methodology for ICSs; methodology section defining the resilience-testing workflow, metric definitions, experiment design, and Section 4 Use Case: METRICS for Power Grids for ICS testbed/case-study results.</t>
  </si>
  <si>
    <t>Method / principle / process: It distinguishes the testbed or ICS environment, scenario description, attacks, countermeasures, manual and automated interventions, domain-agnostic measures and domain-specific metrics, each with a separate evaluation role.
Evidence section(s): : Section 3: METRICS: A Cybersecurity Evaluation Methodology for ICSs; methodology section defining the resilience-testing workflow, metric definitions, experiment design, and Section 4 Use Case: METRICS for Power Grids for ICS testbed/case-study results.</t>
  </si>
  <si>
    <t>Method / principle / process: The framework is logically grouped into four explicit steps: Identify production goals, vulnerabilities and resilience mechanisms; Establish performance targets; Select mechanisms and trigger strategies; and Deploy them with threat-severity evaluation.
Evidence section(s): Section 3. Framework for enhancing the operational resilience of CMS against cyber-attacksvfor operational-resilience framework, cyber-manufacturing system model, attack scenarios, and Section 4 Experiment for illustrative evaluation/results.</t>
  </si>
  <si>
    <t>Method / principle / process: A clear sequential hierarchy links production goals and vulnerabilities to target performance states, mechanism selection and operational deployment. The structure is process based rather than a broad conceptual taxonomy.
Evidence section(s): Section 3. Framework for enhancing the operational resilience of CMS against cyber-attacksvfor operational-resilience framework, cyber-manufacturing system model, attack scenarios, and Section 4 Experiment for illustrative evaluation/results.</t>
  </si>
  <si>
    <t>Method / principle / process: It distinguishes production goals, vulnerabilities, resilience-enhancing mechanisms, performance measures, operating states, threat severity, trigger strategies and deployed mechanisms.
Evidence section(s): Section 3. Framework for enhancing the operational resilience of CMS against cyber-attacksvfor operational-resilience framework, cyber-manufacturing system model, attack scenarios, and Section 4 Experiment for illustrative evaluation/results.</t>
  </si>
  <si>
    <t>Method / principle / process: It distinguishes the CPES information-infrastructure object, information and its quality, adverse cyber effects, resilience characteristics, individual metrics and the calculation algorithm.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t>
  </si>
  <si>
    <t>Method / principle / process: There is a logical sequence from object modelling and information-quality factors to metric calculation and assessment, but the publication does not appear to define a broad, explicit hierarchy of resilience concepts.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t>
  </si>
  <si>
    <t>Method / principle / process: The paper groups concepts around a cyber-resilience model of an information-infrastructure object, the quality of information used for CPES management, resilience metrics and an algorithm for calculating their values.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t>
  </si>
  <si>
    <t>Method / principle / process: The framework groups concepts into CPS dynamics and safety constraints, finite cyber-subsystem statuses, resilient architecture mechanisms, timing parameters, control policies, sufficient safety conditions and a computation algorithm.
Evidence section(s): Section 3 System and Threat model for system/threat model, Section 4 Proposed Cyber Resilient Framework for the timing-based resilience definitions, safety constraints, synthesis/design method, theorems, and Section 6 Case study for the experimental evaluation.</t>
  </si>
  <si>
    <t>Method / principle / process: A clear formal hierarchy proceeds from the hybrid CPS model and architecture statuses to safety constraints, derived sufficient conditions and computed control policies and timing parameters.
Evidence section(s): Section 3 System and Threat model for system/threat model, Section 4 Proposed Cyber Resilient Framework for the timing-based resilience definitions, safety constraints, synthesis/design method, theorems, and Section 6 Case study for the experimental evaluation.</t>
  </si>
  <si>
    <t>Method / principle / process: It clearly distinguishes the physical subsystem, cyber subsystem, cyber statuses, system dynamics, safety set, control policy, timing parameters and resilient mechanisms such as redundancy or restart.
Evidence section(s): Section 3 System and Threat model for system/threat model, Section 4 Proposed Cyber Resilient Framework for the timing-based resilience definitions, safety constraints, synthesis/design method, theorems, and Section 6 Case study for the experimental evaluation.</t>
  </si>
  <si>
    <t>Method / principle / process: The framework groups concepts into an autonomic critical-infrastructure environment, reusable services, system and sensor models, scenario orchestration, time synchronization, data collection, analysis and visualization. These elements are integrated through the KAIROS workflow.
Evidence section(s): Section 2 KAIROS for Agile Services and Analysis Framework architecture, and Section 3 CAAS for autonomous/autonomic service loop, component descriptions, and demonstration/use-case sections.</t>
  </si>
  <si>
    <t>Method / principle / process: It presents a clear workflow from environment and model configuration through service orchestration, execution, data collection and analysis, but does not define a formal multi-level taxonomy of resilience concepts.
Evidence section(s): Section 2 KAIROS for Agile Services and Analysis Framework architecture, and Section 3 CAAS for autonomous/autonomic service loop, component descriptions, and demonstration/use-case sections.</t>
  </si>
  <si>
    <t>Method / principle / process: It distinguishes physical and cyber-physical assets, autonomous or autonomic functions, services, models, sensors, data streams, experiments, analysis components and users, with separate roles and interfaces.
Evidence section(s): Section 2 KAIROS for Agile Services and Analysis Framework architecture, and Section 3 CAAS for autonomous/autonomic service loop, component descriptions, and demonstration/use-case sections.</t>
  </si>
  <si>
    <t>Method / principle / process: The paper logically groups resilience concepts around CPS graph modelling, components and dependencies, disruptive events, structural resilience properties and quantitative metrics, including the spectral-radius-based measure and comparison with related metrics.
Evidence section(s): Section II. CYBER-RESILIENCE, A CONSENSUS FOR A DEFINITION for quantitative-resilience formulation, and Section III. RELATED WORK for the CPS model, resilience metric/curve definition, and Section IV IV. QUANTITATIVE RESILIENCE ASSESSMENT OF SWAT for numerical case-study results.</t>
  </si>
  <si>
    <t>Method / principle / process: It follows a clear analytical progression from CPS representation to disturbance assumptions, metric definition and illustrative evaluation, but does not establish a broad formal hierarchy of resilience concepts.
Evidence section(s): Section II. CYBER-RESILIENCE, A CONSENSUS FOR A DEFINITION for quantitative-resilience formulation, and Section III. RELATED WORK for the CPS model, resilience metric/curve definition, and Section IV IV. QUANTITATIVE RESILIENCE ASSESSMENT OF SWAT for numerical case-study results.</t>
  </si>
  <si>
    <t>Method / principle / process: It distinguishes CPS nodes and links, hardware and software components, graph structure, attacks or failures, retained functionality and individual resilience metrics with different mathematical meanings.
Evidence section(s): Section II. CYBER-RESILIENCE, A CONSENSUS FOR A DEFINITION for quantitative-resilience formulation, and Section III. RELATED WORK for the CPS model, resilience metric/curve definition, and Section IV IV. QUANTITATIVE RESILIENCE ASSESSMENT OF SWAT for numerical case-study results.</t>
  </si>
  <si>
    <t>Method / principle / process: No operational incident-response lifecycle is specified; the paper measures resilience under disruption without defining detection, containment, eradication, coordination or recovery actions.
Evidence section(s): no evidence found; no IR process is defined.</t>
  </si>
  <si>
    <t>Method / principle / process: CSF 2.0 explicitly groups cybersecurity outcomes into six Functions—Govern, Identify, Protect, Detect, Respond and Recover—then into Categories and Subcategories, with Informative References supporting implementation.
Evidence section(s): Section 3 for Core and Organizational Profiles/Tiers sections, especially the Govern, Identify, Protect, Detect, Respond, and Recover Functions and outcome tables.</t>
  </si>
  <si>
    <t>Method / principle / process: It provides a clear three-level hierarchy: Functions contain Categories, which contain outcome-oriented Subcategories. Profiles and Tiers are cross-cutting mechanisms for prioritization and characterization.
Evidence section(s): Section 3 for Core and Organizational Profiles/Tiers sections, especially the Govern, Identify, Protect, Detect, Respond, and Recover Functions and outcome tables.</t>
  </si>
  <si>
    <t>Method / principle / process: The framework clearly distinguishes outcomes, Functions, Categories, Subcategories, Organizational Profiles, Community Profiles, Tiers and Informative References, each with a defined purpose.
Evidence section(s): Section 3 for Core and Organizational Profiles/Tiers sections, especially the Govern, Identify, Protect, Detect, Respond, and Recover Functions and outcome tables.</t>
  </si>
  <si>
    <t>Method / principle / process: It distinguishes process-functionality components, network links and interdependencies, disruptions, continuity or performance states, resilience interventions, investment amounts, constraints and optimization results.
Evidence section(s): Section 3 System model for the network model, resilience objective/constraints, simulation design, and Section 5 for the critical-infrastructure case-study results.</t>
  </si>
  <si>
    <t>Method / principle / process: It presents a clear modelling and decision sequence from network abstraction and disruption simulation to investment allocation and resilience optimization, but not a formal conceptual hierarchy.
Evidence section(s): Section 3 System model for the network model, resilience objective/constraints, simulation design, and Section 5 for the critical-infrastructure case-study results.</t>
  </si>
  <si>
    <t>Method / principle / process: The paper groups concepts into a network of process-functionality components, cyber incidents and propagation, system-process continuity, resilience investment options, budget constraints, simulation and optimization.
Evidence section(s): Section 3 System model for the network model, resilience objective/constraints, simulation design, and Section 5 for the critical-infrastructure case-study results.</t>
  </si>
  <si>
    <t>Method / principle / process: The model can be rerun as networks, incident distributions, budgets and intervention options change, but formal framework versioning and continuous-maintenance governance are not specified.
Evidence section(s): Section 3 System model for the network model, optimization problem, resilience objective/constraints, simulation design, and Section 4 for optimization and Section 5 for simulation; use the adaptation, retraining, continuous-improvement</t>
  </si>
  <si>
    <t>Method / principle / process: The approach groups concepts into synchrophasor measurements, false-data-injection attack models, rapid monitoring and detection, adaptive defence, grid operating performance and resilience evaluation.
Evidence section(s): Section 2  for rapid monitoring and Section 3 for defense architecture, detection method, defense/control logic, grid test system, and comparative results.</t>
  </si>
  <si>
    <t>Method / principle / process: A clear operational sequence links measurement acquisition to attack monitoring and identification, activation of the defence strategy and evaluation of restored grid performance and resilience.
Evidence section(s): Section 2  for rapid monitoring and Section 3 for defense architecture, detection method, defense/control logic, grid test system, and comparative results.</t>
  </si>
  <si>
    <t>Method / principle / process: It distinguishes measurement data and PMUs, attacked and normal states, detection indicators, attack location or impact, defence actions, state-estimation or control functions and grid resilience measures.
Evidence section(s): Section 2  for rapid monitoring and Section 3 for defense architecture, detection method, defense/control logic, grid test system, and comparative results.</t>
  </si>
  <si>
    <t>Method / principle / process: Direct applicability is mainly to electric-power systems using synchrophasor measurements. Other sectors would require new data models, attack assumptions, detection logic and defence mechanisms.
Evidence section(s): Section V Conclusions</t>
  </si>
  <si>
    <t>Method / principle / process: The analysis ranges from system-level resilience to measurement streams, attacked states and defence actions, but its detail structure is specific and technically focused.
Evidence section(s): Evidence section(s): Section 2  for rapid monitoring and Section 3 for defense architecture, detection method, defense/control logic; Also summarized in Section 5 Conclusions</t>
  </si>
  <si>
    <t>Method / principle / process: The detection and defence models can be retrained or revised for new grid conditions and attacks, although the paper does not define a formal framework-evolution process.
Evidence section(s): Section 4 Experiments and Section 5 Conclusions</t>
  </si>
  <si>
    <t>Method / principle / process: The method groups concepts into substation cyber-physical assets, threat and vulnerability scenarios, operational consequences, resilience measures, investment alternatives and optimization of protection portfolios.
Evidence section(s): Section II Risk assessment for cyber-physical risk/resilience formulation and threat scenarios, Section III Strategizing investment for substation model and investment-planning optimization.</t>
  </si>
  <si>
    <t>Method / principle / process: The study follows a clear analytical sequence from asset and scenario modelling through risk and resilience evaluation to investment planning, but it does not define a formal multi-level taxonomy.
Evidence section(s): Section II Risk assessment for cyber-physical risk/resilience formulation and threat scenarios, Section III Strategizing investment for substation model and investment-planning optimization.</t>
  </si>
  <si>
    <t>Method / principle / process: It distinguishes cyber and physical assets, substations and functions, attack scenarios, consequences, resilience investments, budget constraints and optimized portfolios.
Evidence section(s): Section II Risk assessment for cyber-physical risk/resilience formulation and threat scenarios, Section III Strategizing investment for substation model and investment-planning optimization.</t>
  </si>
  <si>
    <t>Method / principle / process: The framework groups concepts into microgrid agents, attacker and defender strategies, system states, reinforcement-learning policies, game-theoretic interactions, operational constraints and resilience outcomes.
Evidence section(s): Section 3 Game theoretic solution approach  for game-theoretic formulation, multi-agent reinforcement-learning architecture, microgrid environment, and Section 4  Convergence Analysis for reward/resilience metrics</t>
  </si>
  <si>
    <t>Method / principle / process: It has a clear computational flow from environment and agent modelling to strategic interaction, learning and policy evaluation, but no broad conceptual hierarchy.
Evidence section(s): Section 3 Game theoretic solution approach  for game-theoretic formulation, multi-agent reinforcement-learning architecture, microgrid environment, and Section 4  Convergence Analysis for reward/resilience metrics</t>
  </si>
  <si>
    <t>Method / principle / process: It distinguishes microgrid components and agents, attacker actions, defender actions, observations, rewards, policies, physical constraints and resilience metrics.
Evidence section(s): Section 3 Game theoretic solution approach  for game-theoretic formulation, multi-agent reinforcement-learning architecture, microgrid environment, and Section 4  Convergence Analysis for reward/resilience metrics</t>
  </si>
  <si>
    <t>Method / principle / process: It distinguishes infrastructure components, endogenous security mechanisms, threat scenarios, indicators, weights, subsystem scores and aggregate resilience results.
Evidence section(s): : Section 3 Model Architecture for endogenous-security framework architecture, cyber-resilience indicator system, assessment model, and Section 4 4. Framework Dimensions and Measurement for weighting/aggregation method.</t>
  </si>
  <si>
    <t>Method / principle / process: It presents an explicit layered assessment structure linking resilience dimensions and indicators to calculated scores and overall infrastructure evaluation.
Evidence section(s): : Section 3 Model Architecture for endogenous-security framework architecture, cyber-resilience indicator system, assessment model, and Section 4 4. Framework Dimensions and Measurement for weighting/aggregation method.</t>
  </si>
  <si>
    <t>Method / principle / process: The framework groups concepts into endogenous-security mechanisms, critical-infrastructure assets and dependencies, attack and defence scenarios, resilience dimensions, indicators and an assessment model.
Evidence section(s): : Section 3 Model Architecture for endogenous-security framework architecture, cyber-resilience indicator system, assessment model, and Section 4 4. Framework Dimensions and Measurement for weighting/aggregation method.</t>
  </si>
  <si>
    <t>Method / principle / process: The paper is centered on resilient architectures, incident response is outside scope
Evidence section(s): protection/mitigation evaluation paragraphs of the framework; no dedicated incident-response procedure.</t>
  </si>
  <si>
    <t>Method / principle / process: Cybersecurity is central to the paper. The method evaluates cyber vulnerabilities and strategic cyber risk, then selects prioritized remediation actions intended to reduce exposure while limiting adverse effects on physical operations. The paper's scope is narrower than a complete cybersecurity framework because it concentrates on remediation optimization rather than the full set of preventive, detective, governance, and assurance functions.
Evidence section(s): Section 2 provides vulnerability, attack graph and cyber-risk paragraphs of the system model.</t>
  </si>
  <si>
    <t>Method / principle / process: ICT security is a core concern, including availability, integrity, confidentiality, system dependencies and the criticality of ICT systems supporting military capabilities.
Evidence section(s): security/manipulation/attack considerations and ICT/communication resilience paragraphs of Sections III–V.</t>
  </si>
  <si>
    <t xml:space="preserve">Method / principle / process: The approach is capability focused because it emphasizes generic capacities to absorb disruption, adapt and recover regardless of the initiating threat.
Evidence section(s): Section 2 and especially Fig 2 and Fig 4 explain the concept; </t>
  </si>
  <si>
    <t>Method / principle / process: Threat-agnostic framing is intentionally hazard, technology and sector neutral, focusing on system performance rather than specific attack mechanisms.
Evidence section(s): Section 2 and especially Fig 4</t>
  </si>
  <si>
    <t>Method / principle / process: It supports use of performance and resilience measures, but does not prescribe a universal quantitative metric set or scoring formula.
Evidence section(s): Section 2 and especially Step 3 in Fig 2.</t>
  </si>
  <si>
    <t>Method / principle / process: Success is defined conceptually as sustaining or restoring critical functions under diverse disruptions; universal numerical thresholds are not specified.
Evidence section(s):Section 2.</t>
  </si>
  <si>
    <t>Method / principle / process: Success is measurable as retaining the required capability across a larger proparagraph of possible component-state combinations; a higher normalized resilience index indicates a more resilient design.
Evidence section(s): Section 5 (simulation outcomes, validation/significance and decision-support results).</t>
  </si>
  <si>
    <t>Method / principle / process: Indicators and models can be updated as architectures and threats evolve, although formal version-control and maintenance rules are not prominent.
Evidence section(s): section 3 Model Architecture for endogenous-security framework architecture; use the adaptation, retraining, continuous-improvement,
Section 5 provides the limitations and future-work discussions.</t>
  </si>
  <si>
    <t>Method / principle / process: New services, models, analytics, sensors and autonomous behaviours can be added to the architecture, making the framework technically extensible, though formal evolution governance is not described.
 Section 2 KAIROS for Agile Services and Analysis Framework architecture, and Section 3 CAAS for autonomous/autonomic service loop, component descriptions, and demonstration/use-case sectionsprovides adaptation, retraining, continuous-improvement. Section 4 provides limitations and future-work discussion.</t>
  </si>
  <si>
    <t>Method / principle / process: P-Graph modelling and the resilience equation are implementation neutral and potentially reusable, but the definitions, examples and component models are  developed for UGVs and their subsystems.
Evidence section(s): Section 5 (simulation outcomes, validation/significance and decision-support results).</t>
  </si>
  <si>
    <t>Method / principle / process: The method can represent unavailable or compromised components, but it is a general engineering-resilience assessment rather than a  cyber-focused framework.
Evidence section(s): Sections 3–4 cyberattack scenarios and cyber-physical consequence modelling.</t>
  </si>
  <si>
    <t>Method / principle / process: The mathematical assessment idea is reusable, but the object model and information-quality interpretation are developed  for cyber-physical energy systems.
Evidence section(s): Section 4. Simulation of Virtual “CAS Mission Support System”; case-study/evaluation section using mission impact and cybersecurity T&amp;E results to support RMF decisions.</t>
  </si>
  <si>
    <t>Method / principle / process: The assessment is capability focused: resilience is calculated for a specified level of UGV or subsystem capability based on the combinations of component states that can still provide the required output.
Evidence section(s): Section 2 Method for resilience-quantification methodology, UGV system model, indicator/metric definition, and Section 3 Results and discussions for case-study results; use the metric/result/evaluation paragraphs .</t>
  </si>
  <si>
    <t>Method / principle / process: P-Graph modelling and the resilience equation are implementation neutral and potentially reusable, but the definitions, examples and component models are  developed for UGVs and their subsystems.
Evidence section(s): Section 2 Method for resilience-quantification methodology, UGV system model, indicator/metric definition, and Section 3 Results and discussions for case-study results; use the metric/result/evaluation paragraphs .</t>
  </si>
  <si>
    <t>Method / principle / process: The paper defines a normalized resilience index between 0 and 1, calculated from the number of system states that preserve a selected capability relative to the total possible component states.
Evidence section(s): Section 2 Method for resilience-quantification methodology, UGV system model, indicator/metric definition, and Section 3 Results and discussions for case-study results; use the metric/result/evaluation paragraphs .</t>
  </si>
  <si>
    <t>Method / principle / process: Success is measurable as retaining the required capability across a larger proparagraph of possible component-state combinations; a higher normalized resilience index indicates a more resilient design.
Evidence section(s): Section 2 Method for resilience-quantification methodology, UGV system model, indicator/metric definition, and Section 3 Results and discussions for case-study results; use the metric/result/evaluation paragraphs .</t>
  </si>
  <si>
    <t>Method / principle / process: The method supports design-time preparation by identifying dependencies, modelling alternative component states and comparing subsystem resilience before deployment. It does not provide organizational preparedness planning.
Evidence section(s): Section 2 Method for resilience-quantification methodology, UGV system model, indicator/metric definition, and Section 3 Results and discussions for case-study results; use the model/setup/design/planning paragraph .</t>
  </si>
  <si>
    <t>Method / principle / process: Resilience analysis is explicit through process-graph modelling and enumeration of operational states. Live fault or cyber-event detection, diagnosis and monitoring mechanisms are not addressed.
Evidence section(s): Section 2 Method for resilience-quantification methodology, UGV system model, indicator/metric definition, and Section 3 Results and discussions for case-study results; use the attack/scenario/detection/analysis paragraph .</t>
  </si>
  <si>
    <t>Method / principle / process: The paper assesses whether capabilities remain available under component-state changes, but it does not define response actions, reconfiguration policies, containment or incident-handling procedures.
Evidence section(s): Section 2 Method for resilience-quantification methodology, UGV system model, indicator/metric definition, and Section 3 Results and discussions for case-study results; use the mitigation/control/response paragraph .</t>
  </si>
  <si>
    <t>Method / principle / process: The method can guide design improvement by identifying weak dependencies and comparing more resilient architectures. It does not model restoration trajectories, recovery time or a continuous improvement cycle.
Evidence section(s): Section 2 Method for resilience-quantification methodology, UGV system model, indicator/metric definition, and Section 3 Results and discussions for case-study results; use the recovery/post-event/results/improvement paragraph .</t>
  </si>
  <si>
    <t>Method / principle / process: Engineering support is strong for system decomposition, dependency modelling and quantitative design comparison. Operational-process support is limited because it does not define operating procedures or maintenance workflows.
Evidence section(s): Section 2 Method for resilience-quantification methodology, UGV system model, indicator/metric definition, and Section 3 Results and discussions for case-study results; use the system model, engineering architecture, control or operational case paragraph .</t>
  </si>
  <si>
    <t>Method / principle / process: The method can represent unavailable or compromised components, but it is a general engineering-resilience assessment rather than a  cyber-focused framework.
Evidence section(s): Section 2 Method for resilience-quantification methodology, UGV system model, indicator/metric definition, and Section 3 Results and discussions for case-study results; use the cyber-threat/attack/security mechanism paragraph .</t>
  </si>
  <si>
    <t>Method / principle / process: No incident-response process is specified. The model evaluates retained capability under component failures or losses but does not address detection, containment, eradication, coordination or recovery actions.
Evidence section(s): Section 2 Method for resilience-quantification methodology, UGV system model, indicator/metric definition, and Section 3 Results and discussions for case-study results; use the detection/mitigation/recovery sequence , noting where no organizational IR process is defined.</t>
  </si>
  <si>
    <t>Method / principle / process: It provides quantitative evidence relevant to risk-informed design by relating component-state combinations to mission capability, but it does not define likelihood, risk ownership, treatment selection or governance.
Evidence section(s): Section 2 Method for resilience-quantification methodology, UGV system model, indicator/metric definition, and Section 3 Results and discussions for case-study results; use the risk, consequence, objective, prioritization or decision-analysis paragraph .</t>
  </si>
  <si>
    <t>Method / principle / process: The P-Graph method is described as generalizable to complete UGV systems and subsystems and may transfer to other engineered systems, but substantial domain-specific component and behaviour modelling would be required.
Evidence section(s): Section 2 Method for resilience-quantification methodology, UGV system model, indicator/metric definition, and Section 3 Results and discussions for case-study results; use the scope/applicability/generalization discussion .</t>
  </si>
  <si>
    <t>Method / principle / process: It can be applied at whole-system or subsystem level and can model individual components and partial capability states, giving meaningful flexibility in analytical granularity.
Evidence section(s): Section 2 Method for resilience-quantification methodology, UGV system model, indicator/metric definition, and Section 3 Results and discussions for case-study results; use the hierarchy/model/metric decomposition showing multiple abstraction levels .</t>
  </si>
  <si>
    <t>Method / principle / process: Models can be revised when components, dependencies or required capabilities change, but the paper does not define a formal evolution, governance or continuous-maintenance process.
Evidence section(s): Section 2 Method for resilience-quantification methodology, UGV system model, indicator/metric definition, and Section 3 Results and discussions for case-study results; use theadaptation, retraining, continuous-improvement, limitations or future-work discussion .</t>
  </si>
  <si>
    <t>Method / principle / process: The methodology focuses on the capability to configure, execute and compare resilience experiments, including the ability of countermeasures and interventions to preserve or restore ICS operation under cyberattack.
Evidence section(s): : Section 3: METRICS: A Cybersecurity Evaluation Methodology for ICSs; methodology section defining the resilience-testing workflow, metric definitions, experiment design, and Section 4 Use Case: METRICS for  ICS testbed/case-study results; use the metric/result/evaluation paragraphs .</t>
  </si>
  <si>
    <t>Method / principle / process: METRICS is designed to complement heterogeneous ICS testbeds and explicitly offers domain-agnostic evaluation capabilities, while allowing users to add domain-specific metrics and scenarios.
Evidence section(s): : Section 3: METRICS: A Cybersecurity Evaluation Methodology for ICSs; methodology section defining the resilience-testing workflow, metric definitions, experiment design, and Section 4 Use Case: METRICS for  ICS testbed/case-study results; use the metric/result/evaluation paragraphs .</t>
  </si>
  <si>
    <t>Method / principle / process: It is measurement centred and produces comparable experimental observations and resilience metrics from configured attack and countermeasure campaigns; domain-specific quantitative measures can be added by the user.
Evidence section(s): : Section 3: METRICS: A Cybersecurity Evaluation Methodology for ICSs; methodology section defining the resilience-testing workflow, metric definitions, experiment design, and Section 4 Use Case: METRICS for  ICS testbed/case-study results; use the metric/result/evaluation paragraphs .</t>
  </si>
  <si>
    <t>Method / principle / process: Success can be assessed by whether the selected countermeasures and interventions maintain or restore the chosen performance measures and by comparison of metric values across repeated scenarios.
Evidence section(s): : Section 3: METRICS: A Cybersecurity Evaluation Methodology for ICSs; methodology section defining the resilience-testing workflow, metric definitions, experiment design, and Section 4 Use Case: METRICS for  ICS testbed/case-study results; use the metric/result/evaluation paragraphs .</t>
  </si>
  <si>
    <t>Method / principle / process: Preparation is strongly supported through advance definition of the environment, attacks, countermeasures, interventions, metrics and repeatable measurement campaigns before testing begins.
Evidence section(s): : Section 3: METRICS: A Cybersecurity Evaluation Methodology for ICSs; methodology section defining the resilience-testing workflow, metric definitions, experiment design, and Section 4 Use Case: METRICS for  ICS testbed/case-study results; use the model/setup/design/planning paragraph .</t>
  </si>
  <si>
    <t>Method / principle / process: Detection and analysis are strongly supported in the evaluation setting through observation of attack effects, collection of measurements and systematic comparison of system behaviour and countermeasure performance.
Evidence section(s): : Section 3: METRICS: A Cybersecurity Evaluation Methodology for ICSs; methodology section defining the resilience-testing workflow, metric definitions, experiment design, and Section 4 Use Case: METRICS for  ICS testbed/case-study results; use the attack/scenario/detection/analysis paragraph .</t>
  </si>
  <si>
    <t>Method / principle / process: Response is represented through configurable manual and automatic interventions and countermeasures that can be activated during an experimental cyberattack. It does not define organizational incident-response governance.
Evidence section(s): : Section 3: METRICS: A Cybersecurity Evaluation Methodology for ICSs; methodology section defining the resilience-testing workflow, metric definitions, experiment design, and Section 4 Use Case: METRICS for  ICS testbed/case-study results; use the mitigation/control/response paragraph .</t>
  </si>
  <si>
    <t>Method / principle / process: Recovery can be measured by observing restoration of system performance after attacks and interventions. Improvement is supported by comparing mechanisms and refining designs, though no formal continuous-improvement lifecycle is prescribed.
Evidence section(s): : Section 3: METRICS: A Cybersecurity Evaluation Methodology for ICSs; methodology section defining the resilience-testing workflow, metric definitions, experiment design, and Section 4 Use Case: METRICS for  ICS testbed/case-study results; use the recovery/post-event/results/improvement paragraph .</t>
  </si>
  <si>
    <t>Method / principle / process: Engineering support is strong because METRICS structures testbed configuration, scenario execution, measurement and comparison of security mechanisms. Operational support is mainly experimental rather than a full production-operations method.
Evidence section(s): : Section 3: METRICS: A Cybersecurity Evaluation Methodology for ICSs; methodology section defining the resilience-testing workflow, metric definitions, experiment design, and Section 4 Use Case: METRICS for  ICS testbed/case-study results; use thesystem model, engineering architecture, control or operational case paragraph .</t>
  </si>
  <si>
    <t>Method / principle / process: Cyberattack resilience of industrial control systems is the central focus, including attack scenarios, security mechanisms, interventions and cyber-physical performance effects.
Evidence section(s): : Section 3: METRICS: A Cybersecurity Evaluation Methodology for ICSs; methodology section defining the resilience-testing workflow, metric definitions, experiment design, and Section 4 Use Case: METRICS for  ICS testbed/case-study results; use the cyber-threat/attack/security mechanism paragraph .</t>
  </si>
  <si>
    <t>Method / principle / process: It supports technical incident-response experimentation through attacks, countermeasures and interventions, but does not specify roles, escalation, communications, evidence handling or organizational playbooks.
Evidence section(s): : Section 3: METRICS: A Cybersecurity Evaluation Methodology for ICSs; methodology section defining the resilience-testing workflow, metric definitions, experiment design, and Section 4 Use Case: METRICS for  ICS testbed/case-study results; use the detection/mitigation/recovery sequence , noting where no organizational IR process is defined.</t>
  </si>
  <si>
    <t>Method / principle / process: The methodology supplies evidence for risk-informed selection of countermeasures, but it is primarily a resilience-testing method and does not provide a complete risk-identification, evaluation, ownership and acceptance process.
Evidence section(s): : Section 3: METRICS: A Cybersecurity Evaluation Methodology for ICSs; methodology section defining the resilience-testing workflow, metric definitions, experiment design, and Section 4 Use Case: METRICS for  ICS testbed/case-study results; use the risk, consequence, objective, prioritization or decision-analysis paragraph .</t>
  </si>
  <si>
    <t>Method / principle / process: It explicitly provides domain-agnostic evaluation capabilities and can be used with different ICS testbeds, while domain-specific metrics and system models are supplied by the user.
Evidence section(s): : Section 3: METRICS: A Cybersecurity Evaluation Methodology for ICSs; methodology section defining the resilience-testing workflow, metric definitions, experiment design, and Section 4 Use Case: METRICS for  ICS testbed/case-study results; use the scope/applicability/generalization discussion .</t>
  </si>
  <si>
    <t>Method / principle / process: Users can work at campaign, scenario, attack, countermeasure, intervention and individual-metric level, giving flexible experimental granularity.
Evidence section(s): : Section 3: METRICS: A Cybersecurity Evaluation Methodology for ICSs; methodology section defining the resilience-testing workflow, metric definitions, experiment design, and Section 4 Use Case: METRICS for  ICS testbed/case-study results; use the hierarchy/model/metric decomposition showing multiple abstraction levels .</t>
  </si>
  <si>
    <t>Method / principle / process: New attacks, countermeasures, interventions, testbeds and metrics can be incorporated as threats and technologies change, although formal governance of methodology revisions is not defined.
Evidence section(s): : Section 3: METRICS: A Cybersecurity Evaluation Methodology for ICSs; methodology section defining the resilience-testing workflow, metric definitions, experiment design, and Section 4 Use Case: METRICS for  ICS testbed/case-study results; use the adaptation, retraining, continuous-improvement, limitations or future-work discussion .</t>
  </si>
  <si>
    <t>Method / principle / process: The framework is strongly capability focused because it determines which resilience mechanisms a cyber-manufacturing system needs to maintain or regain production performance under cyberattack.
Evidence section(s): Section 3. Framework for enhancing the operational resilience of CMS against cyber-attacksvfor operational-resilience framework, cyber-manufacturing system model, attack scenarios, and Section 4 Experiment for illustrative evaluation/results; use the metric/result/evaluation paragraphs .</t>
  </si>
  <si>
    <t>Method / principle / process: The four-step logic is generally reusable, but the specified performance variables, threats and mechanisms are tailored to cyber-manufacturing systems and production operations.
Evidence section(s): Section 3. Framework for enhancing the operational resilience of CMS against cyber-attacksvfor operational-resilience framework, cyber-manufacturing system model, attack scenarios, and Section 4 Experiment for illustrative evaluation/results; use the metric/result/evaluation paragraphs .</t>
  </si>
  <si>
    <t>Method / principle / process: It defines measurable production indicators including output, scrap rate and downtime at different system states, enabling comparison of operational resilience and mechanism performance.
Evidence section(s): Section 3. Framework for enhancing the operational resilience of CMS against cyber-attacksvfor operational-resilience framework, cyber-manufacturing system model, attack scenarios, and Section 4 Experiment for illustrative evaluation/results; use the metric/result/evaluation paragraphs .</t>
  </si>
  <si>
    <t>Method / principle / process: Success conditions are explicit through established target values for production output, scrap rate and downtime and through activation strategies intended to keep or return performance within those targets.
Evidence section(s): Section 3. Framework for enhancing the operational resilience of CMS against cyber-attacksvfor operational-resilience framework, cyber-manufacturing system model, attack scenarios, and Section 4 Experiment for illustrative evaluation/results; use the metric/result/evaluation paragraphs .</t>
  </si>
  <si>
    <t>Method / principle / process: Preparation is explicit in mapping production goals, vulnerabilities and resilience mechanisms, establishing performance targets and selecting mechanisms and trigger strategies before deployment.
Evidence section(s): Section 3. Framework for enhancing the operational resilience of CMS against cyber-attacksvfor operational-resilience framework, cyber-manufacturing system model, attack scenarios, and Section 4 Experiment for illustrative evaluation/results; use the model/setup/design/planning paragraph .</t>
  </si>
  <si>
    <t>Method / principle / process: Detection and analysis are supported through threat-severity evaluation and triggering decisions. The framework includes reducing detection time as a resilience objective, though detailed detection algorithms are not its main contribution.
Evidence section(s): Section 3. Framework for enhancing the operational resilience of CMS against cyber-attacksvfor operational-resilience framework, cyber-manufacturing system model, attack scenarios, and Section 4 Experiment for illustrative evaluation/results; use the attack/scenario/detection/analysis paragraph .</t>
  </si>
  <si>
    <t>Method / principle / process: Response is strongly covered by selecting and activating resilience-enhancing mechanisms according to threat severity and operational state during cyberattacks.
Evidence section(s): Section 3. Framework for enhancing the operational resilience of CMS against cyber-attacksvfor operational-resilience framework, cyber-manufacturing system model, attack scenarios, and Section 4 Experiment for illustrative evaluation/results use the mitigation/control/response paragraph .</t>
  </si>
  <si>
    <t>Method / principle / process: Recovery is explicit through mechanisms intended to reduce recovery time and restore production performance. Improvement is supported by evaluating outcomes and refining selected mechanisms, although a formal lessons-learned cycle is limited.
Evidence section(s): Section 3. Framework for enhancing the operational resilience of CMS against cyber-attacksvfor operational-resilience framework, cyber-manufacturing system model, attack scenarios, and Section 4 Experiment for illustrative evaluation/results; use the recovery/post-event/results/improvement paragraph .</t>
  </si>
  <si>
    <t>Method / principle / process: The framework connects engineering choices with operational production targets, deployment and triggering of mechanisms, providing strong engineering and operational support for cyber-manufacturing.
Evidence section(s): Section 3. Framework for enhancing the operational resilience of CMS against cyber-attacksvfor operational-resilience framework, cyber-manufacturing system model, attack scenarios, and Section 4 Experiment for illustrative evaluation/results; use the system model, engineering architecture, control or operational case paragraph .</t>
  </si>
  <si>
    <t>Method / principle / process: Cyberattacks against connected manufacturing systems are the central problem, and the framework integrates vulnerabilities, cyber-defence mechanisms and operational consequences.
Evidence section(s): Section 3. Framework for enhancing the operational resilience of CMS against cyber-attacksvfor operational-resilience framework, cyber-manufacturing system model, attack scenarios, and Section 4 Experiment for illustrative evaluation/results; use the cyber-threat/attack/security mechanism paragraph .</t>
  </si>
  <si>
    <t>Method / principle / process: It provides technical incident-response support through threat evaluation, trigger strategies and mechanism activation, but does not define a complete organizational response process with roles and communications.
Evidence section(s): Section 3. Framework for enhancing the operational resilience of CMS against cyber-attacksvfor operational-resilience framework, cyber-manufacturing system model, attack scenarios, and Section 4 Experiment for illustrative evaluation/results; use the detection/mitigation/recovery sequence , noting where no organizational IR process is defined.</t>
  </si>
  <si>
    <t>Method / principle / process: It supports risk-informed selection by mapping vulnerabilities and threat severity to performance consequences and mechanisms, but it does not present a full enterprise risk-management lifecycle.
Evidence section(s): Section 3. Framework for enhancing the operational resilience of CMS against cyber-attacksvfor operational-resilience framework, cyber-manufacturing system model, attack scenarios, and Section 4 Experiment for illustrative evaluation/results; use the risk, consequence, objective, prioritization or decision-analysis paragraph .</t>
  </si>
  <si>
    <t>Method / principle / process: The process can be transferred to other operational CPS sectors, but production goals, performance metrics, vulnerabilities and resilience mechanisms would require substantial sector-specific adaptation.
Evidence section(s): Section 3. Framework for enhancing the operational resilience of CMS against cyber-attacksvfor operational-resilience framework, cyber-manufacturing system model, attack scenarios, and Section 4 Experiment for illustrative evaluation/results; use the scope/applicability/generalization discussion .</t>
  </si>
  <si>
    <t>Method / principle / process: It works from high-level production goals through performance states to individual mechanisms and activation strategies, offering several useful levels of detail.
Evidence section(s): Section 3. Framework for enhancing the operational resilience of CMS against cyber-attacksvfor operational-resilience framework, cyber-manufacturing system model, attack scenarios, and Section 4 Experiment for illustrative evaluation/results; use the hierarchy/model/metric decomposition showing multiple abstraction levels .</t>
  </si>
  <si>
    <t>Method / principle / process: The framework can incorporate new vulnerabilities, threat-severity models, performance targets and resilience mechanisms, but it does not define formal versioning or framework-maintenance governance.
Evidence section(s): Section 3. Framework for enhancing the operational resilience of CMS against cyber-attacksvfor operational-resilience framework, cyber-manufacturing system model, attack scenarios, and Section 4 Experiment for illustrative evaluation/results; use the adaptation, retraining, continuous-improvement, limitations or future-work discussion .</t>
  </si>
  <si>
    <t>Method / principle / process: The approach focuses on the capability of an information-infrastructure object to continue providing information of sufficient quality for cyber-physical energy-system management under adverse cyber conditions.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metric/result/evaluation paragraphs .</t>
  </si>
  <si>
    <t>Method / principle / process: The mathematical assessment idea is reusable, but the object model and information-quality interpretation are developed  for cyber-physical energy systems.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metric/result/evaluation paragraphs .</t>
  </si>
  <si>
    <t>Method / principle / process: Quantification is the main purpose: the paper develops an algorithm to calculate cyber-resilience metric values while accounting for the quality of information used in CPES management.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metric/result/evaluation paragraphs .</t>
  </si>
  <si>
    <t>Method / principle / process: Success is represented by calculated resilience and information-quality values that indicate whether the infrastructure continues to support acceptable management of the energy system; exact acceptance thresholds remain context dependent.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metric/result/evaluation paragraphs .</t>
  </si>
  <si>
    <t>Method / principle / process: Preparation is supported indirectly by defining an assessment model and calculating baseline or scenario-based resilience metrics, but detailed planning, hardening and preparedness procedures are not described.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model/setup/design/planning paragraph .</t>
  </si>
  <si>
    <t>Method / principle / process: Analysis is central through metric calculation and evaluation of information quality under cyber effects. Operational detection, monitoring and diagnosis mechanisms are not clearly specified.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attack/scenario/detection/analysis paragraph .</t>
  </si>
  <si>
    <t>Method / principle / process: The approach measures resilience but does not clearly define response actions, containment strategies, control interventions or incident-response workflows.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mitigation/control/response paragraph .</t>
  </si>
  <si>
    <t>Method / principle / process: Metric results can guide improvement and comparison of infrastructure designs. Recovery processes, restoration actions and a formal continuous-improvement cycle are not clearly developed.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recovery/post-event/results/improvement paragraph .</t>
  </si>
  <si>
    <t>Method / principle / process: Engineering support is provided through the resilience model and calculation algorithm for CPES information infrastructure. Operational procedural support is limited.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system model, engineering architecture, control or operational case paragraph .</t>
  </si>
  <si>
    <t>Method / principle / process: Cyber resilience of information infrastructure supporting energy-system operation is the central subject, including cyber impacts on information quality.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cyber-threat/attack/security mechanism paragraph .</t>
  </si>
  <si>
    <t>Method / principle / process: The paper does not appear to define incident-response roles, detection-to-containment workflows, eradication, communications or recovery playbooks.
Evidence section(s): No mention of this item in ani of sections: Section III AN APPROACH TO DETERMINING THE CYBER RESILIENCE INDICES FOR THE OBJECT INFORMATION SYSTEM ; Section II  CYBER RESILIENCE OF THE CPES INFORMATION INFRASTRUCTURE OBJECTS  or Section IV Case study; no detection/mitigation/recovery sequence  defined,  no organizational IR process is defined.</t>
  </si>
  <si>
    <t>Method / principle / process: The metrics can support risk-informed comparison and prioritization, but the publication is an assessment method rather than a complete risk-management process.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risk, consequence, objective, prioritization or decision-analysis paragraph .</t>
  </si>
  <si>
    <t>Method / principle / process: The metric concept may transfer to other information-dependent CPS sectors, but the model must be redefined for sector-specific information quality, operational functions and consequences.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scope/applicability/generalization discussion .</t>
  </si>
  <si>
    <t>Method / principle / process: It can assess individual information-infrastructure objects and aggregate resilience characteristics, but explicit multiple abstraction levels are limited.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hierarchy/model/metric decomposition showing multiple abstraction levels .</t>
  </si>
  <si>
    <t>Method / principle / process: The model and algorithm can be updated for new objects, information-quality parameters and cyber scenarios, although no formal evolution process is specified.
Evidence section(s): Section III AN APPROACH TO DETERMINING THE CYBER RESILIENCE INDICES FOR THE OBJECT INFORMATION SYSTEM for metric-assessment methodology and Section II  CYBER RESILIENCE OF THE CPES INFORMATION INFRASTRUCTURE OBJECTS for CPES information-infrastructure model, indicator definitions; Section IV Case study for numerical/example assessment; use the adaptation, retraining, continuous-improvement, limitations or future-work discussion .</t>
  </si>
  <si>
    <t>Method / principle / process: The framework is strongly capability focused: it computes control and timing capabilities required for a CPS to remain within a specified safety constraint despite faults or cyberattacks.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metric/result/evaluation paragraphs .</t>
  </si>
  <si>
    <t>Method / principle / process: The framework provides a common mathematical representation for multiple resilient architectures and a wide class of CPS with polynomial dynamics, without prescribing a vendor or one specific architecture.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metric/result/evaluation paragraphs .</t>
  </si>
  <si>
    <t>Method / principle / process: It produces quantitative timing parameters, control policies and formally derived safety conditions that can be tested in models and case studies.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metric/result/evaluation paragraphs .</t>
  </si>
  <si>
    <t>Method / principle / process: Success is explicit: the computed policy and timing parameters must satisfy the given safety constraint under the modelled cyber-status transitions and resilient architecture.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metric/result/evaluation paragraphs .</t>
  </si>
  <si>
    <t>Method / principle / process: Preparation is strong because resilient architecture, control policies and timing parameters are computed in advance to guarantee safety under anticipated faults and attacks.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model/setup/design/planning paragraph .</t>
  </si>
  <si>
    <t>Method / principle / process: Analysis is strong through hybrid-system modelling, safety analysis and derivation of sufficient conditions. The framework does not primarily provide live intrusion detection or forensic analysis.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attack/scenario/detection/analysis paragraph .</t>
  </si>
  <si>
    <t>Method / principle / process: Technical response is central: switching among cyber statuses, redundancy and restart from safe conditions are modelled, and control and timing policies govern system behaviour during faults or attacks.
Evidence section(s):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mitigation/control/response paragraph .</t>
  </si>
  <si>
    <t>Method / principle / process: Recovery is explicitly represented by mechanisms such as restarting from safe operating conditions and timing the return to trustworthy operation. Broader organizational improvement and lessons learned are outside scope.
Evidence section(s):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recovery/post-event/results/improvement paragraph .</t>
  </si>
  <si>
    <t>Method / principle / process: Engineering support is very strong through formal modelling, safety verification and synthesis of control and timing parameters. Operational support is technical and embedded in the computed policies rather than procedural.
Evidence section(s):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system model, engineering architecture, control or operational case paragraph .</t>
  </si>
  <si>
    <t>Method / principle / process: Cyber faults and attacks are explicit motivating conditions, but the framework addresses them through general safety-control and resilient-architecture models rather than a broad cybersecurity programme.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cyber-threat/attack/security mechanism paragraph .</t>
  </si>
  <si>
    <t>Method / principle / process: It supports automated technical response and recovery through architecture-state transitions and restart timing, but not organizational incident management, communications or forensics.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detection/mitigation/recovery sequence , noting where no organizational IR process is defined.</t>
  </si>
  <si>
    <t>Method / principle / process: It treats fault and attack effects as design constraints and supports trade-offs among architectures, but does not define likelihood assessment, risk ownership, acceptance or enterprise risk governance.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risk, consequence, objective, prioritization or decision-analysis paragraph .</t>
  </si>
  <si>
    <t>Method / principle / process: The authors state that the method applies to CPS domains such as robotics, industrial manufacturing and power systems and to a wide class of systems with polynomial dynamics.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metric/result/evaluation paragraphs ; use the scope/applicability/generalization discussion .</t>
  </si>
  <si>
    <t>Method / principle / process: It supports system-level safety requirements, architecture statuses, detailed timing parameters and control policies, providing flexible analytical depth within its formal model.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hierarchy/model/metric decomposition showing multiple abstraction levels .</t>
  </si>
  <si>
    <t>Method / principle / process: The common hybrid model explicitly allows incorporation of new resilient architectures, making evolvability a stated feature of the approach.
Evidence section(s): Section 3 System and Threat model for system/threat model, Section 4 Proposed Cyber Resilient Framework for the timing-based resilience definitions, safety constraints, synthesis/design method, theorems, and Section 6 Case study for the experimental evaluation; use the adaptation, retraining, continuous-improvement, limitations or future-work discussion .</t>
  </si>
  <si>
    <t>Method / principle / process: The approach focuses on capabilities for rapidly composing, testing and analysing autonomous and autonomic critical-infrastructure systems, including monitoring, coordinated services and adaptation.
Evidence section(s): Evidence section(s): Section 2 KAIROS for Agile Services and Analysis Framework architecture, and Section 3 CAAS for autonomous/autonomic service loop, component descriptions, and demonstration/use-case sections.; use the metric/result/evaluation paragraphs .</t>
  </si>
  <si>
    <t xml:space="preserve">Method / principle / process: The service-oriented and model-based architecture is intended to integrate heterogeneous systems and analysis tools without prescribing particular vendors or one infrastructure technology.
Evidence section(s): Evidence section(s): Section 2 KAIROS for Agile Services and Analysis Framework architecture, and Section 3 CAAS for autonomous/autonomic service loop, component descriptions, and demonstration/use-case sections.; use the metric/result/evaluation paragraphs </t>
  </si>
  <si>
    <t xml:space="preserve">Method / principle / process: The framework supports collection and analysis of synchronized experimental data and permits user-defined measures for comparing behaviours and system performance, although the exact metrics depend on the experiment.
Evidence section(s): Evidence section(s): Section 2 KAIROS for Agile Services and Analysis Framework architecture, and Section 3 CAAS for autonomous/autonomic service loop, component descriptions, and demonstration/use-case sections.; use the metric/result/evaluation paragraphs </t>
  </si>
  <si>
    <t xml:space="preserve">Method / principle / process: Success is demonstrated when integrated services execute the intended scenario and provide analysable results for the selected operational objectives. Universal resilience thresholds or pass/fail criteria are not defined.
Evidence section(s): Evidence section(s): Section 2 KAIROS for Agile Services and Analysis Framework architecture, and Section 3 CAAS for autonomous/autonomic service loop, component descriptions, and demonstration/use-case sections.; use the metric/result/evaluation paragraphs </t>
  </si>
  <si>
    <t>Method / principle / process: Preparation is strongly supported through model construction, scenario definition, service composition, synchronization and experiment configuration before system execution.
Evidence section(s): Evidence section(s): Section 2 KAIROS for Agile Services and Analysis Framework architecture, and Section 3 CAAS for autonomous/autonomic service loop, component descriptions, and demonstration/use-case sections;use the model/setup/design/planning paragraph .</t>
  </si>
  <si>
    <t>Method / principle / process: Detection and analysis are strongly enabled through sensor data collection, synchronized observations, analytics and visualization. The specific detection algorithms remain application dependent.
Evidence section(s): Evidence section(s): Section 2 KAIROS for Agile Services and Analysis Framework architecture, and Section 3 CAAS for autonomous/autonomic service loop, component descriptions, and demonstration/use-case sections;  use the attack/scenario/detection/analysis paragraph .</t>
  </si>
  <si>
    <t>Method / principle / process: The autonomic-services architecture can support automated adaptation and technical response to changing conditions, but the paper does not define a complete organizational incident-response process.
Evidence section(s): Evidence section(s): Section 2 KAIROS for Agile Services and Analysis Framework architecture, and Section 3 CAAS for autonomous/autonomic service loop, component descriptions, and demonstration/use-case sections.; use the mitigation/control/response paragraph .</t>
  </si>
  <si>
    <t>Method / principle / process: The framework can evaluate adaptive and autonomic behaviour and support iterative improvement of system designs. Detailed restoration procedures and formal post-incident improvement governance are not specified.
Evidence section(s): Evidence section(s): Section 2 KAIROS for Agile Services and Analysis Framework architecture, and Section 3 CAAS for autonomous/autonomic service loop, component descriptions, and demonstration/use-case sections; use the recovery/post-event/results/improvement paragraph .</t>
  </si>
  <si>
    <t>Method / principle / process: It provides strong engineering and experimental support through reusable services, modelling, integration, synchronization and analysis of critical-infrastructure systems. Operational support is mainly technical and test-oriented.
Evidence section(s): Agile Services and Analysis Framework architecture, autonomous/autonomic service loop, component descriptions, and demonstration/use-case sections; use the system model, engineering architecture, control or operational case paragraph .</t>
  </si>
  <si>
    <t>Method / principle / process: Cyber and cyber-physical concerns are included, but the framework has a broader autonomy, integration and critical-infrastructure experimentation focus rather than being exclusively cybersecurity focused.
Evidence section(s): Evidence section(s): Section 2 KAIROS for Agile Services and Analysis Framework architecture, and Section 3 CAAS for autonomous/autonomic service loop, component descriptions, and demonstration/use-case sections.;; use the cyber-threat/attack/security mechanism paragraph .</t>
  </si>
  <si>
    <t>Method / principle / process: It can host monitoring and adaptive-response services, but does not specify incident classification, responder roles, containment, eradication, communications, forensics or recovery playbooks.
Evidence section(s): Agile Services and Analysis Framework architecture, autonomous/autonomic service loop, component descriptions, and demonstration/use-case sections; use the detection/mitigation/recovery sequence , noting where no organizational IR process is defined.</t>
  </si>
  <si>
    <t>Method / principle / process: Experimental results can inform risk decisions and design trade-offs, but a full risk-identification, evaluation, ownership, treatment and acceptance process is not defined.
Evidence section(s): Section 2 KAIROS for Agile Services and Analysis Framework architecture, and Section 3 CAAS for autonomous/autonomic service loop, component descriptions, and demonstration/use-case sections.;  use the risk, consequence, objective, prioritization or decision-analysis paragraph .</t>
  </si>
  <si>
    <t>Method / principle / process: The modular service-based design can be adapted to different critical-infrastructure domains and heterogeneous platforms, although each sector must supply its own models, services, data and scenarios.
Evidence section(s): Section 2 KAIROS for Agile Services and Analysis Framework architecture, and Section 3 CAAS for autonomous/autonomic service loop, component descriptions, and demonstration/use-case sections; use the scope/applicability/generalization discussion .</t>
  </si>
  <si>
    <t>Method / principle / process: It supports detail from complete infrastructure scenarios to individual services, components, sensors and data streams, giving flexible modelling and analysis granularity.
Evidence section(s): Section 2 KAIROS for Agile Services and Analysis Framework architecture, and Section 3 CAAS for autonomous/autonomic service loop, component descriptions, and demonstration/use-case sections; use the hierarchy/model/metric decomposition showing multiple abstraction levels .</t>
  </si>
  <si>
    <t>Method / principle / process: The work is capability focused because its metrics estimate whether a CPS can preserve connectivity or functionality when components are disrupted or removed.
Evidence section(s): Section III. RELATED WORK for the CPS model, resilience metric/curve definition, and Section IV IV. QUANTITATIVE RESILIENCE ASSESSMENT OF SWAT for numerical case-study results; use the metric/result/evaluation paragraphs .</t>
  </si>
  <si>
    <t>Method / principle / process: The graph-theoretic formulation is largely technology and vendor neutral and can represent different CPS architectures, provided their components and dependencies can be expressed as a graph.
Evidence section(s): Section III. RELATED WORK for the CPS model, resilience metric/curve definition, and Section IV IV. QUANTITATIVE RESILIENCE ASSESSMENT OF SWAT for numerical case-study results; use the metric/result/evaluation paragraphs .</t>
  </si>
  <si>
    <t>Method / principle / process: Quantitative measurement is the core contribution. The paper examines numerical resilience metrics, including spectral radius, and illustrates how their values change under graph modifications or component losses.
Evidence section(s): Section III. RELATED WORK for the CPS model, resilience metric/curve definition, and Section IV IV. QUANTITATIVE RESILIENCE ASSESSMENT OF SWAT for numerical case-study results; use the metric/result/evaluation paragraphs .</t>
  </si>
  <si>
    <t>Method / principle / process: Higher or more favourable metric values indicate greater structural resilience, but the paper does not define universal acceptance thresholds linking a value to adequate operational resilience.
Evidence section(s): Section III. RELATED WORK for the CPS model, resilience metric/curve definition, and Section IV IV. QUANTITATIVE RESILIENCE ASSESSMENT OF SWAT for numerical case-study results; use the metric/result/evaluation paragraphs .</t>
  </si>
  <si>
    <t>Method / principle / process: Preparation is supported by modelling system structure, identifying critical dependencies and calculating baseline resilience before disruptions occur. It does not provide broader preparedness plans or procedures.
Evidence section(s): Section III. RELATED WORK for the CPS model, resilience definition; use the model/setup/design/planning paragraph .</t>
  </si>
  <si>
    <t>Method / principle / process: Analysis is the principal focus through graph-theoretic modelling and quantitative comparison of resilience metrics. Live detection, diagnosis, monitoring and forensic analysis are outside scope.
Evidence section(s): Section III. RELATED WORK for the CPS model, resilience definition; use the attack/scenario/detection/analysis paragraph .</t>
  </si>
  <si>
    <t>Method / principle / process: The work evaluates the effects of disruptions but does not prescribe response actions, containment, reconfiguration policies or incident-handling procedures.
Evidence section(s): Section III. RELATED WORK for the CPS model, resilience definition; use the mitigation/control/response paragraph .</t>
  </si>
  <si>
    <t>Method / principle / process: Metric results can guide architecture redesign and identification of structurally weak components. Recovery dynamics, restoration actions and continuous-improvement processes are not explicitly modelled.
Evidence section(s): Section III. RELATED WORK for the CPS model, resilience definition; use the recovery/post-event/results/improvement paragraph .</t>
  </si>
  <si>
    <t>Method / principle / process: Engineering support is strong for architecture modelling and quantitative comparison. Operational-process support is limited because the method does not define day-to-day procedures or control actions.
Evidence section(s): Section III. RELATED WORK for the CPS model, resilience definition; use the system model, engineering architecture, control or operational case paragraph .</t>
  </si>
  <si>
    <t>Method / principle / process: Cyber disruptions motivate the analysis, but the metric is a general graph-structural resilience measure rather than a comprehensive cybersecurity framework.
Evidence section(s): Section III. RELATED WORK for the CPS model, resilience definition; use the cyber-threat/attack/security mechanism paragraph .</t>
  </si>
  <si>
    <t>Method / principle / process: The metrics can support risk-informed identification of critical components and design alternatives, but likelihood, consequence valuation, ownership and risk-treatment governance are not defined.
Evidence section(s): Section III. RELATED WORK for the CPS model, resilience definition; use the risk, consequence, objective, prioritization or decision-analysis paragraph .</t>
  </si>
  <si>
    <t>Method / principle / process: The graph-based method is applicable to multiple CPS and critical-infrastructure sectors, although sector-specific topology, functionality and disruption assumptions must be modelled.
Evidence section(s): Section V Discussions; use the scope/applicability/generalization discussion .</t>
  </si>
  <si>
    <t>Method / principle / process: It can be applied at whole-network level and to individual node or edge changes, but it offers limited functional or organizational abstraction beyond the graph representation.
Evidence section(s): Section III. RELATED WORK for the CPS model, and Section II Cyber resilience, consensus for definition for theresilience definition; use the hierarchy/model/metric decomposition showing multiple abstraction levels .</t>
  </si>
  <si>
    <t>Method / principle / process: The graph and metric calculations can be updated as components and dependencies change; however, no formal framework-maintenance or continuous-evolution process is specified.
Evidence section(s): Section III. RELATED WORK for the CPS model, and Section II Cyber resilience, consensus for definition for the resilience definition; use the adaptation, retraining, continuous-improvement, limitations or future-work discussion .</t>
  </si>
  <si>
    <t>Method / principle / process: It is strongly capability and outcome focused: the Core states what cybersecurity outcomes an organization should achieve across governance, prevention, detection, response and recovery.
Evidence section(s): Section 3 for Core and Organizational Profiles/Tiers sections, especially the Govern, Identify, Protect, Detect, Respond, and Recover Functions and outcome tables; use the metric/result/evaluation paragraphs .</t>
  </si>
  <si>
    <t>Method / principle / process: CSF 2.0 is non-prescriptive and technology, vendor, size and sector neutral. It states desired outcomes while allowing organizations to choose suitable practices and controls.
Evidence section(s): Section 3 for Core and Organizational Profiles/Tiers sections, especially the Govern, Identify, Protect, Detect, Respond, and Recover Functions and outcome tables; use the metric/result/evaluation paragraphs .</t>
  </si>
  <si>
    <t>Method / principle / process: Profiles and assessments support comparison of Current and Target states and tracking of gaps, but the Core does not prescribe universal numerical metrics, scoring formulas or performance thresholds.
Evidence section(s): Section 3 for Core and Organizational Profiles/Tiers sections, especially the Govern, Identify, Protect, Detect, Respond, and Recover Functions and outcome tables; use the metric/result/evaluation paragraphs .</t>
  </si>
  <si>
    <t>Method / principle / process: Success conditions are clearly expressible as achievement of selected Target Profile outcomes and reduction of gaps from the Current Profile, although exact acceptance criteria are defined by each organization.
Evidence section(s): Section 3 for Core and Organizational Profiles/Tiers sections, especially the Govern, Identify, Protect, Detect, Respond, and Recover Functions and outcome tables; use the metric/result/evaluation paragraphs .</t>
  </si>
  <si>
    <t>Method / principle / process: Preparation is strongly covered through Govern and Identify outcomes, including strategy, policy, roles, asset and risk understanding, improvement planning and supply-chain risk management.
Evidence section(s): Section 3 for  Core and Organizational Profiles/Tiers sections, especially the Govern, Identify, Protect, Detect, Respond, and Recover Functions and outcome tables; use the model/setup/design/planning paragraph .</t>
  </si>
  <si>
    <t>Method / principle / process: Detection and analysis are explicit in the Detect Function through continuous monitoring, adverse-event analysis, correlation, impact estimation and incident declaration.
Evidence section(s): Section 3 for Core and Organizational Profiles/Tiers sections, especially the Govern, Identify, Protect, Detect, Respond, and Recover Functions and outcome tables; use the attack/scenario/detection/analysis paragraph .</t>
  </si>
  <si>
    <t>Method / principle / process: Response is explicit in the Respond Function, including incident management, analysis, reporting, communication and mitigation.
Evidence section(s): Sectio 3 for Core and Organizational Profiles/Tiers sections, especially the Govern, Identify, Protect, Detect, Respond, and Recover Functions and outcome tables; use the mitigation/control/response paragraph .</t>
  </si>
  <si>
    <t>Method / principle / process: Recovery is explicit in the Recover Function, including restoration planning, execution, verification and communication. Improvement is cross-cutting through the Improvement Category and lessons learned.
Evidence section(s): Section3 for Core and Organizational Profiles/Tiers sections, especially the Govern, Identify, Protect, Detect, Respond, and Recover Functions and outcome tables; use the recovery/post-event/results/improvement paragraph .</t>
  </si>
  <si>
    <t>Method / principle / process: The CSF strongly supports operational cybersecurity management and can guide engineering requirements through Profiles and Informative References, though it is not a detailed engineering design standard.
Evidence section(s): Section3 for Core and Organizational Profiles/Tiers sections, especially the Govern, Identify, Protect, Detect, Respond, and Recover Functions and outcome tables; use the system model, engineering architecture, control or operational case paragraph .</t>
  </si>
  <si>
    <t>Method / principle / process: Cybersecurity risk management is the framework's central subject and covers governance through recovery across the entire organization.
Evidence section(s): Section 3 for Core and Organizational Profiles/Tiers sections, especially the Govern, Identify, Protect, Detect, Respond, and Recover Functions and outcome tables; use the cyber-threat/attack/security mechanism paragraph .</t>
  </si>
  <si>
    <t>Method / principle / process: Incident response is explicitly covered by Detect, Respond and Recover outcomes, including analysis, management, communication, mitigation and restoration.
Evidence section(s): Section 3 for Core and Organizational Profiles/Tiers sections, especially the Govern, Identify, Protect, Detect, Respond, and Recover Functions and outcome tables; use the detection/mitigation/recovery sequence , noting where no organizational IR process is defined.</t>
  </si>
  <si>
    <t>Method / principle / process: Risk management is foundational, especially through the Govern and Identify Functions, Organizational Profiles, Tiers and alignment of cybersecurity risk with enterprise risk management.
Evidence section(s): Section 3 for Core and Organizational Profiles/Tiers sections, especially the Govern, Identify, Protect, Detect, Respond, and Recover Functions and outcome tables; use the risk, consequence, objective, prioritization or decision-analysis paragraph .</t>
  </si>
  <si>
    <t>Method / principle / process: CSF 2.0 is explicitly intended for organizations of any size, sector and maturity, with Community Profiles supporting sector or community tailoring.
Evidence section(s): Section3 for Core and Organizational Profiles/Tiers sections, especially the Govern, Identify, Protect, Detect, Respond, and Recover Functions and outcome tables; use the scope/applicability/generalization discussion .</t>
  </si>
  <si>
    <t>Method / principle / process: It supports high-level Functions, more detailed Categories and Subcategories, and implementation links through Informative References, Profiles and supplementary guides.
Evidence section(s): Section3 for Core and Organizational Profiles/Tiers sections, especially the Govern, Identify, Protect, Detect, Respond, and Recover Functions and outcome tables; use the hierarchy/model/metric decomposition showing multiple abstraction levels .</t>
  </si>
  <si>
    <t>Method / principle / process: The framework is designed for iterative use: Current and Target Profiles can be updated as risks and priorities change, and NIST maintains an extensible ecosystem of references and implementation resources.
Evidence section(s): Section 3 for Core and Organizational Profiles/Tiers sections, especially the Govern, Identify, Protect, Detect, Respond, and Recover Functions and outcome tables; use the adaptation, retraining, continuous-improvement, limitations or future-work discussion . In addition, Section 5 contains explicitly the improvements</t>
  </si>
  <si>
    <t>Method / principle / process: The framework focuses on the capability of a critical-infrastructure network to absorb and adapt to cyber incidents while maintaining system-process continuity.
Evidence section(s): Section 3 System model for the network model, optimization problem, resilience objective/constraints, simulation design, and Section 4 for optimization; use the metric/result/evaluation paragraphs .</t>
  </si>
  <si>
    <t>Method / principle / process: The graph, simulation and optimization formulation is broadly infrastructure and technology neutral and is described for any network of process-functionality components, with domain data supplied by users.
Evidence section(s): Section 3 System model for the network model, optimization problem, resilience objective/constraints, simulation design, and Section 4 for optimization; use the metric/result/evaluation paragraphs .</t>
  </si>
  <si>
    <t>Method / principle / process: It produces quantitative continuity and resilience results and an optimized allocation of a constrained cyber-resilience budget across network components.
Evidence section(s): Section 3 System model for the network model, optimization problem, resilience objective/constraints, simulation design, and Section 4 for optimization; use the metric/result/evaluation paragraphs .</t>
  </si>
  <si>
    <t>Method / principle / process: Success is explicit as maximizing expected system-process continuity or cyber-resilience under the available budget and modelled disruption conditions.
Evidence section(s): Section 3 System model for the network model, optimization problem, resilience objective/constraints, simulation design, and Section 4 for optimization; use the metric/result/evaluation paragraphs .</t>
  </si>
  <si>
    <t>Method / principle / process: Preparation is strongly supported through network modelling, disruption scenarios, investment-option definition and advance allocation of resilience resources.
Evidence section(s): Section 3 System model for the network model, optimization problem, resilience objective/constraints, simulation design, and Section 4 for optimization and Section 5 for simulation; use the model/setup/design/planning paragraph .</t>
  </si>
  <si>
    <t>Method / principle / process: Analysis is strong through simulation of cyber-incident effects, interdependency propagation and optimization of investments. Live event detection or forensic diagnosis is not a core feature.
Evidence section(s): Section 3 System model for the network model, optimization problem, resilience objective/constraints, simulation design, and Section 4 for optimization and Section 5 for simulation;  use the attack/scenario/detection/analysis paragraph .</t>
  </si>
  <si>
    <t>Method / principle / process: The selected resilience investments can improve absorption and adaptation during incidents, but the framework does not prescribe operational response actions or incident-management procedures.
Evidence section(s): Section 3 System model for the network model, optimization problem, resilience objective/constraints, simulation design, and Section 4 for optimization and Section 5 for simulation; use the mitigation/control/response paragraph .</t>
  </si>
  <si>
    <t>Method / principle / process: The approach explicitly considers maintaining continuity and adapting to incidents and can guide improvement through optimized investment. Detailed service-restoration workflows and lessons-learned processes are not defined.
Evidence section(s): Section 3 System model for the network model, optimization problem, resilience objective/constraints, simulation design, and Section 4 for optimization and Section 5 for simulation; use the recovery/post-event/results/improvement paragraph .</t>
  </si>
  <si>
    <t>Method / principle / process: It provides strong decision-engineering support through network modelling, simulation and optimization and supports management planning. Operational procedures are not specified.
Evidence section(s): Section 3 System model for the network model, optimization problem, resilience objective/constraints, simulation design, and Section 4 for optimization and Section 5 for simulation; use the system model, engineering architecture, control or operational case paragraph .</t>
  </si>
  <si>
    <t>Method / principle / process: Cyber incidents and cyber-resilience investment are central, although the focus is on business-process continuity rather than the full range of cybersecurity controls.
Evidence section(s): Section 3 System model for the network model, optimization problem, resilience objective/constraints, simulation design, and Section 4 for optimization and Section 5 for simulation; use the cyber-threat/attack/security mechanism paragraph .</t>
  </si>
  <si>
    <t>Method / principle / process: It informs preparedness and mitigation investment but does not define incident detection, command structure, containment, eradication, communication or forensic workflows.
Evidence section(s): Section 3 System model for the network model, optimization problem, resilience objective/constraints, simulation design, and Section 4 for optimization and Section 5 for simulation;  use the detection/mitigation/recovery sequence , Partial support becsause no IR process is defined.</t>
  </si>
  <si>
    <t>Method / principle / process: Risk-informed resource allocation is central: the model evaluates cyber-disruption effects and optimizes resilience investment under constraints. Broader governance and risk acceptance are not detailed.
Evidence section(s): Section 3 System model for the network model, optimization problem, resilience objective/constraints, simulation design, and Section 4 for optimization and Section 5 for simulation; use the risk, consequence, objective, prioritization or decision-analysis paragraph .</t>
  </si>
  <si>
    <t>Method / principle / process: The method is intended for complex networked critical infrastructures and can be adapted across sectors by changing process networks, disruption models, continuity measures and investment options.
Evidence section(s): Section 3 System model for the network model, optimization problem, resilience objective/constraints, simulation design, and Section 4 for optimization and Section 5 for simulation; use the scope/applicability/generalization discussion .</t>
  </si>
  <si>
    <t>Method / principle / process: It spans enterprise-level continuity objectives, network and component representations, disruption scenarios and individual investment decisions, providing flexible analytical detail.
Evidence section(s): Section 3 System model for the network model, optimization problem, resilience objective/constraints, simulation design, and Section 4 for optimization and Section 5 for simulation; use the hierarchy/model/metric decomposition showing multiple abstraction levels .</t>
  </si>
  <si>
    <t>Method / principle / process: The method is capability focused, providing rapid monitoring, attack identification and active defence capabilities intended to preserve safe and reliable power-system operation.
Evidence section(s): Section 2  for rapid monitoring and Section 3 for defense architecture, detection method, defense/control logic; use the metric/result/evaluation paragraphs .</t>
  </si>
  <si>
    <t>Method / principle / process: The underlying monitoring-and-defence logic may be reusable, but the specification is closely tied to electric-grid synchrophasor data, false-data-injection attacks and power-system models.
Evidence section(s): Section 2  for rapid monitoring and Section 3 for defense architecture, detection method, defense/control logic; use the metric/result/evaluation paragraphs .</t>
  </si>
  <si>
    <t>Method / principle / process: The paper evaluates detection and defence using quantitative simulation or experimental results such as detection performance, response speed and improvements in grid operational resilience.
Evidence section(s): Section 2  for rapid monitoring and Section 3 for defense architecture, detection method, defense/control logic; use the metric/result/evaluation paragraphs .</t>
  </si>
  <si>
    <t>Method / principle / process: Success is clearly associated with rapid and accurate identification of injected data and effective defence that limits operational impact and restores acceptable grid state or performance.
Evidence section(s): Section 2  for rapid monitoring and Section 3 for defense architecture, detection method, defense/control logic; use the metric/result/evaluation paragraphs .</t>
  </si>
  <si>
    <t>Method / principle / process: Preparation is supported through preconfigured monitoring models, defence strategies and power-system simulations, but broad organizational preparedness planning is not the main focus.
Evidence section(s): Section 2  for rapid monitoring and Section 3 for defense architecture, detection method, defense/control logic; use the model/setup/design/planning paragraph .</t>
  </si>
  <si>
    <t>Method / principle / process: Detection and analysis are central: the approach rapidly monitors synchrophasor data, identifies false-data-injection attacks and evaluates their effects on grid operation.
Evidence section(s): Section 2  for rapid monitoring and Section 3 for defense architecture, detection method, defense/control logic; use the attack/scenario/detection/analysis paragraph .</t>
  </si>
  <si>
    <t>Method / principle / process: Response is a core contribution through activation of a rapid defence method after attack detection to mitigate malicious measurement effects and protect grid operation.
Evidence section(s): Section 2  for rapid monitoring and Section 3 for defense architecture, detection method, defense/control logic; use the mitigation/control/response paragraph .</t>
  </si>
  <si>
    <t>Method / principle / process: Recovery is supported by restoring reliable state information and operational performance after mitigation. Improvement is demonstrated through resilience evaluation, but a formal lessons-learned lifecycle is not defined.
Evidence section(s): Section 2  for rapid monitoring and Section 3 for defense architecture, detection method, defense/control logic; use the metric/result/evaluation paragraphs ; use the recovery/post-event/results/improvement paragraph .</t>
  </si>
  <si>
    <t>Method / principle / process: Engineering and operational support are strong for power-system monitoring, state estimation, defence implementation and performance evaluation.
Evidence section(s): Section 2  for rapid monitoring and Section 3 for defense architecture, detection method, defense/control logic; use the system model, engineering architecture, control or operational case paragraph .</t>
  </si>
  <si>
    <t>Method / principle / process: Cybersecurity is central,  protection of grid cyber-physical operation against false-data-injection attacks on synchrophasor measurements.
Evidence section(s): Section 2  for rapid monitoring and Section 3 for defense architecture, detection method, defense/control logic; use the cyber-threat/attack/security mechanism paragraph .</t>
  </si>
  <si>
    <t xml:space="preserve">Method / principle / process: The method covers technical detection, analysis, mitigation and restoration, but not organizational roles, communications, evidence handling or a complete incident-response programme.
Evidence section(s): Section 2  for rapid monitoring and Section 3 for defense architecture, detection method, defense/control logic; use the detection/mitigation/recovery sequence </t>
  </si>
  <si>
    <t>Method / principle / process: It reduces operational cyber risk through monitoring and defence, but does not define a comprehensive risk assessment, ownership, acceptance or enterprise governance process.
Evidence section(s): Section 2  for rapid monitoring and Section 3 for defense architecture, detection method, defense/control logic; use the metric/result/evaluation paragraphs ; use the risk, consequence, objective, prioritization or decision-analysis paragraph .</t>
  </si>
  <si>
    <t>Method / principle / process: The framework focuses on capabilities that reduce cyber-physical risk and preserve or restore substation operation through targeted resilience investments.
Evidence section(s): Section II Risk assessment for cyber-physical risk/resilience formulation and threat scenarios, Section III Strategizing investment for substation model and investment-planning optimization;  use the metric/result/evaluation paragraphs .</t>
  </si>
  <si>
    <t>Method / principle / process: The optimization logic is broadly reusable, but the models, consequences and candidate investments are tailored to electric-power substations.
Evidence section(s): Section II Risk assessment for cyber-physical risk/resilience formulation and threat scenarios, Section III Strategizing investment for substation model and investment-planning optimization; use the metric/result/evaluation paragraphs .</t>
  </si>
  <si>
    <t>Method / principle / process: It produces quantitative risk and resilience values and optimized investment allocations under budget constraints.
Evidence section(s): Section II Risk assessment for cyber-physical risk/resilience formulation and threat scenarios, Section III Strategizing investment for substation model and investment-planning optimization; use the metric/result/evaluation paragraphs .</t>
  </si>
  <si>
    <t>Method / principle / process: Success is defined by selecting an investment portfolio that minimizes cyber-physical risk or maximizes resilience subject to cost and operational constraints.
Evidence section(s): Section II Risk assessment for cyber-physical risk/resilience formulation and threat scenarios, Section III Strategizing investment for substation model and investment-planning optimization; use the metric/result/evaluation paragraphs .</t>
  </si>
  <si>
    <t>Method / principle / process: Preparation is strongly supported through pre-event risk assessment, asset prioritization, scenario modelling and advance investment planning.
Evidence section(s): Section III Strategizing investment for substation model and investment-planning optimization; use the model/setup/design/planning paragraph .</t>
  </si>
  <si>
    <t>Method / principle / process: Analysis is central through quantitative cyber-physical risk and resilience assessment. Live attack detection and diagnosis are not the main contribution.
Evidence section(s): Section III Strategizing investment for substation model and investment-planning optimization; use the attack/scenario/detection/analysis paragraph .</t>
  </si>
  <si>
    <t>Method / principle / process: The selected investments can enable mitigation and continuity, but operational incident-response actions and workflows are not specified.
Evidence section(s): Section III Strategizing investment for substation model and investment-planning optimization; use the mitigation/control/response paragraph .</t>
  </si>
  <si>
    <t>Method / principle / process: The framework supports resilience improvement through optimized investment and can represent recovery benefits, but detailed restoration procedures and lessons-learned processes are limited.
Evidence section(s): Section III Strategizing investment for substation model and investment-planning optimization; use the recovery/post-event/results/improvement paragraph .</t>
  </si>
  <si>
    <t>Method / principle / process: Engineering and planning support are strong for substation modelling, consequence analysis and resilience investment decisions. Operational procedural support is limited.
Evidence section(s): Section III Strategizing investment for substation model and investment-planning optimization; use the system model, engineering architecture, control or operational case paragraph .</t>
  </si>
  <si>
    <t>Method / principle / process: Cyber-physical security of power substations is the central focus.
Evidence section(s): Section III Strategizing investment for substation model and investment-planning optimization; use the cyber-threat/attack/security mechanism paragraph .
Section II Risk asessment for vulnerability and impact</t>
  </si>
  <si>
    <t>Method / principle / process: It informs mitigation and preparedness but does not define a full incident-response lifecycle with roles, escalation, containment and communications.
Evidence section(s): Section III Strategizing investment for substation model and investment-planning optimization; use the detection/mitigation/recovery sequence , 
No IR process is defined.</t>
  </si>
  <si>
    <t>Method / principle / process: Risk management is a core feature through scenario analysis, consequence estimation, prioritization, budget constraints and optimal treatment selection.
Evidence section(s): Section III Strategizing investment for substation model and investment-planning optimization; use the risk, consequence, objective, prioritization or decision-analysis paragraph .
 Fig 3 presents the Risk minimization diagram</t>
  </si>
  <si>
    <t>Method / principle / process: The approach can be adapted to other infrastructure sectors, but sector-specific assets, dependencies, consequences and investment options must be modelled.
Evidence section(s): Section V conclusions provide discussions that clarify the scope/applicability/generalization .</t>
  </si>
  <si>
    <t>Method / principle / process: It ranges from system-level investment objectives to individual assets, scenarios and countermeasures, offering flexible analytical detail.
Evidence section(s): Section III Strategizing investment for substation model and investment-planning optimization; use the hierarchy/model/metric decomposition showing multiple abstraction levels .</t>
  </si>
  <si>
    <t>Method / principle / process: The model can be rerun as threats, assets, costs and budgets change, but formal framework-evolution governance is not defined.
Evidence section(s): Section III Strategizing investment for substation model and investment-planning optimization discuss the adaptation, retraining, continuous-improvement and limitations. Section V provides future-work discussion .</t>
  </si>
  <si>
    <t>Method / principle / process: The approach is strongly capability focused, learning coordinated defence policies that maintain microgrid operation under cyberattack.
Evidence section(s): Section 3 Game theoretic solution approach  for game-theoretic formulation, multi-agent reinforcement-learning architecture, microgrid environment, Section 4  Convergence Analysis for reward/resilience metrics and Section 5 Experimental validation for metrics and results; use the metric/result/evaluation paragraphs .</t>
  </si>
  <si>
    <t>Method / principle / process: The game-theoretic and multi-agent learning method is implementation neutral in principle, but the formulation is specific to cyber-physical microgrids.
Evidence section(s): Section 3 Game theoretic solution approach  for game-theoretic formulation, multi-agent reinforcement-learning architecture, microgrid environment, Section 4  Convergence Analysis for reward/resilience metrics and Section 5 Experimental validation for metrics and results; use the metric/result/evaluation paragraphs .</t>
  </si>
  <si>
    <t>Method / principle / process: It generates quantitative rewards, operational-performance measures and resilience results from simulation and learned policies.
Evidence section(s): Section 3 Game theoretic solution approach  for game-theoretic formulation, multi-agent reinforcement-learning architecture, microgrid environment, Section 4  Convergence Analysis for reward/resilience metrics and Section 5 Experimental validation for metrics and results; use the metric/result/evaluation paragraphs .</t>
  </si>
  <si>
    <t>Method / principle / process: Success is defined by policies that improve resilience and operational performance while satisfying microgrid constraints under adversarial conditions.
Evidence section(s): Section 3 Game theoretic solution approach  for game-theoretic formulation, multi-agent reinforcement-learning architecture, microgrid environment, Section 4  Convergence Analysis for reward/resilience metrics and Section 5 Experimental validation for metrics and results; use the metric/result/evaluation paragraphs .</t>
  </si>
  <si>
    <t>Method / principle / process: Preparation is supported through offline modelling, scenario construction and training of defence policies before deployment.
Evidence section(s):Section 3 Game theoretic solution approach  for game-theoretic formulation, multi-agent reinforcement-learning architecture, microgrid environment, Section 4  Convergence Analysis for reward/resilience metrics; use the model/setup/design/planning paragraph .</t>
  </si>
  <si>
    <t>Method / principle / process: Detection and analysis are represented through agent observations and learned state assessment, though explicit monitoring and forensic processes are not detailed.
Evidence section(s): Section 3 Game theoretic solution approach  for game-theoretic formulation, multi-agent reinforcement-learning architecture, microgrid environment, Section 4  Convergence Analysis for reward/resilience metrics; use the attack/scenario/detection/analysis paragraph .</t>
  </si>
  <si>
    <t>Method / principle / process: Response is central because agents select adaptive defence actions during attacks.
Evidence section(s): Section 3 Game theoretic solution approach  for game-theoretic formulation, multi-agent reinforcement-learning architecture, microgrid environment, Section 4  Convergence Analysis for reward/resilience metrics; use the mitigation/control/response paragraph .</t>
  </si>
  <si>
    <t>Method / principle / process: Recovery and adaptation are supported by policies that return the microgrid toward stable operation and improve through reinforcement learning, although organizational improvement processes are absent.
Evidence section(s): Section 3 Game theoretic solution approach  for game-theoretic formulation, multi-agent reinforcement-learning architecture, microgrid environment, Section 4  Convergence Analysis for reward/resilience metrics; use the recovery/post-event/results/improvement paragraph .</t>
  </si>
  <si>
    <t>Method / principle / process: Engineering support is strong through modelling, simulation and control-policy synthesis; operational support is embedded in automated agent actions.
Evidence section(s):Section 3 Game theoretic solution approach  for game-theoretic formulation, multi-agent reinforcement-learning architecture, microgrid environment, Section 4  Convergence Analysis for reward/resilience metrics ; use the system model, engineering architecture, control or operational case paragraph .</t>
  </si>
  <si>
    <t>Method / principle / process: Cyber resilience against attacks in microgrids is the central subject.
Evidence section(s): Section 3 Game theoretic solution approach  for game-theoretic formulation, multi-agent reinforcement-learning architecture, microgrid environment, Section 4  Convergence Analysis for reward/resilience metrics;  use the cyber-threat/attack/security mechanism paragraph .</t>
  </si>
  <si>
    <t>Method / principle / process: It provides automated technical response but not organizational incident management, communication or evidence-handling procedures.
Evidence section(s): Section 3 Game theoretic solution approach  for game-theoretic formulation, multi-agent reinforcement-learning architecture, microgrid environment, Section 4  Convergence Analysis for reward/resilience metrics;; use the detection/mitigation/recovery sequence , 
No IR process is defined.</t>
  </si>
  <si>
    <t>Method / principle / process: Risk is handled indirectly through adversarial rewards and operational consequences rather than a complete governance-oriented risk-management process.
Evidence section(s): Section 3 Game theoretic solution approach  for game-theoretic formulation, multi-agent reinforcement-learning architecture, microgrid environment, Section 4  Convergence Analysis for reward/resilience metrics; use the risk, consequence, objective, prioritization or decision-analysis paragraph .</t>
  </si>
  <si>
    <t>Method / principle / process: The underlying game and learning approach may transfer to other CPS sectors, but state, action, reward and safety models require major domain tailoring.
Evidence section(s): Section 3 Game theoretic solution approach, Section 4  Convergence Analysis and Section VI Conclusions; use the scope/applicability/generalization discussion .</t>
  </si>
  <si>
    <t>Method / principle / process: It supports system, agent, state, action and control-policy levels of detail, but remains technically specialized.
Evidence section(s):Section 3 Game theoretic solution approach, Section 4  Convergence Analysis and Section VI Conclusions; use the hierarchy/model/metric decomposition showing multiple abstraction levels .</t>
  </si>
  <si>
    <t>Method / principle / process: Learning agents and models can be retrained as threats and operating conditions change, providing technical evolvability without formal framework governance.
Evidence section(s): Section 3 Game theoretic solution approach, Section 4  Convergence Analysis and Section VI Conclusions; use the adaptation, retraining, continuous-improvement, limitations or future-work discussion .</t>
  </si>
  <si>
    <t>Method / principle / process: The framework evaluates the capabilities of critical infrastructure to resist, absorb, recover and adapt through endogenous security properties.
Evidence section(s): : Section 3 Model Architecture for endogenous-security framework architecture, cyber-resilience indicator system, assessment model, and Section 4 4. Framework Dimensions and Measurement for  weighting/aggregation method; use the metric/result/evaluation paragraphs .</t>
  </si>
  <si>
    <t>Method / principle / process: The assessment structure is broadly reusable, but its endogenous-security assumptions and indicators require infrastructure-specific interpretation and data.
Evidence section(s): : Section 3 Model Architecture for endogenous-security framework architecture, cyber-resilience indicator system, assessment model, and Section 4 4. Framework Dimensions and Measurement for  weighting/aggregation method; use the metric/result/evaluation paragraphs .</t>
  </si>
  <si>
    <t>Method / principle / process: It produces quantitative indicator values, weighted scores and aggregate cyber-resilience assessments.
Evidence section(s): : Section 3 Model Architeture for endogenous-security framework architecture, cyber-resilience indicator system, assessment model, and Section 4 4. Framework Dimensions and Measurement for  weighting/aggregation method; use the metric/result/evaluation paragraphs .</t>
  </si>
  <si>
    <t>Method / principle / process: Success is represented by higher assessment scores and demonstrated endogenous-security capabilities across the defined resilience dimensions; exact acceptance thresholds remain contextual.
Evidence section(s): : section 3 Model Architecture for endogenous-security framework architecture, cyber-resilience indicator system, assessment model, and Section 4. Framework Dimensions and Measurement for  weighting/aggregation method; use the metric/result/evaluation paragraphs .</t>
  </si>
  <si>
    <t>Method / principle / process: Preparation is supported through indicator selection, architecture analysis and baseline assessment before adverse events.
Evidence section(s): section 3 Model Architecture for endogenous-security framework architecture, cyber-resilience indicator system, assessment model, and Section 4. Framework Dimensions and Measurement for  weighting/aggregation method; use the model/setup/design/planning paragraph .</t>
  </si>
  <si>
    <t>Method / principle / process: Detection and analysis are covered through monitoring- and assessment-related indicators and scenario evaluation, though detailed operational detection methods are not the main focus.
Evidence section(s): endogenous-security framework architecture, cyber-resilience indicator system, assessment model, weighting/aggregation method, and case study; use the attack/scenario/detection/analysis paragraph .</t>
  </si>
  <si>
    <t>Method / principle / process: Response is represented through defensive and adaptive mechanisms in the endogenous-security architecture, but detailed incident procedures are limited.
Evidence section(s): section 3 Model Architecture for endogenous-security framework architecture, cyber-resilience indicator system, assessment model, and Section 4. Framework Dimensions and Measurement for  weighting/aggregation method; use the mitigation/control/response paragraph .</t>
  </si>
  <si>
    <t>Method / principle / process: Recovery and improvement are explicit resilience dimensions, including restoration and adaptation based on assessment results.
Evidence section(s): section 3 Model Architecture for endogenous-security framework architecture, cyber-resilience indicator system, assessment model, and Section 4. Framework Dimensions and Measurement for  weighting/aggregation method; use the recovery/post-event/results/improvement paragraph .</t>
  </si>
  <si>
    <t>Method / principle / process: It provides strong engineering assessment support and can guide architecture improvement; operational support depends on implemented mechanisms.
Evidence section(s): section 3 Model Architecture for endogenous-security framework architecture, cyber-resilience indicator system, assessment model, and Section 4. Framework Dimensions and Measurement for  weighting/aggregation method; use the system model, engineering architecture, control or operational case paragraph .</t>
  </si>
  <si>
    <t>Method / principle / process: Cyber resilience of critical infrastructure is the central focus.
Evidence section(s): section 3 Model Architecture for endogenous-security framework architecture, cyber-resilience indicator system, assessment model, and Section 4. Framework Dimensions and Measurement for  weighting/aggregation method; use the cyber-threat/attack/security mechanism paragraph .</t>
  </si>
  <si>
    <t>Method / principle / process: It supports technical defensive response and recovery capabilities but not a complete organizational incident-response standard.
Evidence section(s): section 3 Model Architecture for endogenous-security framework architecture, cyber-resilience indicator system, assessment model, and Section 4. Framework Dimensions and Measurement for  weighting/aggregation method; use the detection/mitigation/recovery sequence .
No IR process is defined.</t>
  </si>
  <si>
    <t>Method / principle / process: The assessment results support risk prioritization and treatment, but the framework is not a full enterprise risk-governance process.
Evidence section(s): section 3 Model Architecture for endogenous-security framework architecture, cyber-resilience indicator system, assessment model, and Section 4. Framework Dimensions and Measurement for  weighting/aggregation method; use the risk, consequence, objective, prioritization or decision-analysis paragraph .</t>
  </si>
  <si>
    <t>Method / principle / process: It is intended for critical infrastructures and can be tailored across sectors by adapting indicators, weights, architectures and scenarios.
Evidence section(s): section 3 Model Architecture for endogenous-security framework architecture; use the scope/applicability/generalization discussion .</t>
  </si>
  <si>
    <t>Method / principle / process: It offers multiple levels from resilience dimensions to indicators, subsystem assessments and aggregate scores.
Evidence section(s): section 3 Model Architecture for endogenous-security framework architecture; use the hierarchy/model/metric decomposition showing multiple abstraction levels .</t>
  </si>
  <si>
    <t>Method / principle / process: The paper groups resilience concepts around threat-agnostic principles, system functions, absorptive, adaptive and restorative capacities, cross-sector applications and decision-making under uncertainty.
Evidence section(s): Section 1 and  in section 1.1 charactristics of threat-agnostic resilience provides conceptual framing and application sections defining threat-agnostic resilience and illustrating its use across infrastructure/disaster contexts.</t>
  </si>
  <si>
    <t>Method / principle / process: It provides a coherent conceptual progression from general resilience principles to capacities and applications, but not a strict formal hierarchy with detailed parent-child rules.
Evidence section(s): Section 1 and  in section 1.1 charactristics of threat-agnostic resilience provides conceptual framing and application sections defining threat-agnostic resilience and illustrating its use across infrastructure/disaster contexts.</t>
  </si>
  <si>
    <t>Method / principle / process: It distinguishes hazards, system functions, resilience capacities, performance states, interventions, stakeholders and application contexts.
Evidence section(s): Section 1 and  in section 1.1 charactristics of threat-agnostic resilience provides conceptual framing and application sections defining threat-agnostic resilience and illustrating its use across infrastructure/disaster contexts.</t>
  </si>
  <si>
    <t>Method / principle / process: Preparation is strongly supported through all-hazards planning, identification of critical functions and development of generic resilience capacities.
Evidence section(s): Section 2; Fig 3 explains the model/setup/design/planning paragraph .</t>
  </si>
  <si>
    <t>Method / principle / process: Detection and analysis are addressed only generally through situational awareness and understanding disruption effects, not detailed cyber-event monitoring or diagnostics.
Evidence section(s): Section 2; Figure 3 explains the attack/scenario/detection/analysis paragraph .</t>
  </si>
  <si>
    <t>Method / principle / process: Response is covered through adaptive actions and resource reconfiguration, though operational procedures are context dependent.
Evidence section(s): Section 2; Figure 3 explains the mitigation/control/response paragraph .</t>
  </si>
  <si>
    <t>Method / principle / process: Recovery and improvement are central through restorative capacity, adaptation and learning across repeated disruptions.
Evidence section(s): Section 2; Figure 3 explains the recovery/post-event/results/improvement paragraph .</t>
  </si>
  <si>
    <t>Method / principle / process: The framing supports engineering, policy and operational decision-making across system lifecycles, but it is conceptual rather than a detailed technical method.
Evidence section(s): Section2 details the system model, engineering architecture, control or operational case paragraph .</t>
  </si>
  <si>
    <t>Method / principle / process: Cyber threats are included as one class of disruption, but the framework is deliberately broader than cybersecurity.
Evidence section(s): Section 2 details the cyber-threat/attack/security mechanism paragraph .</t>
  </si>
  <si>
    <t>Method / principle / process: It can inform incident and crisis response, but does not define cyber-specific incident-response procedures or playbooks.
Evidence section(s): Section 2 details  the detection/mitigation/recovery sequence 
No IR process is defined.</t>
  </si>
  <si>
    <t>Method / principle / process: Risk management is supported through uncertainty-aware and all-hazards planning, but detailed risk quantification and governance are not the primary focus.
Evidence section(s):Section 2 details the risk, consequence, objective, prioritization or decision-analysis paragraph .</t>
  </si>
  <si>
    <t>Method / principle / process: Cross-sector and cross-hazard adaptability is a defining feature of the threat-agnostic approach.
Evidence section(s): Section 3 Discussions details the  scope/applicability/generalization .</t>
  </si>
  <si>
    <t>Method / principle / process: The concepts can be applied from strategic functions to system capacities and specific interventions, though formal granularity levels are limited.
Evidence section(s): Section 2 performs decomposition showing multiple abstraction levels .</t>
  </si>
  <si>
    <t>Method / principle / process: The framework is designed to remain relevant as threats change and can incorporate new applications and lessons, giving strong conceptual evolvability.
Evidence section(s): Section 2 details the adaptation, retraining, and continuous-improvement. Section 3 discuss the limitations and future-work.</t>
  </si>
  <si>
    <t>Method / principle / process: IRPF organizes resilience planning into a structured process covering identification of critical infrastructure, dependencies and hazards, risk and resilience assessment, project development, implementation and monitoring.
Evidence section(s): Section 1 Lay the foundation for the resilience concepts, stakeholder engagement; Section 2 Critical Infrastructure Identificaiton for the critical infrastructure  dependencies</t>
  </si>
  <si>
    <t>Method / principle / process: It provides a clear stepwise hierarchy from community goals and infrastructure identification to assessment, solution development, project prioritization, implementation and evaluation.
Evidence section(s): Section 1 Lay the foundation for the resilience concepts, stakeholder engagement; Section 2 Critical Infrastructure Identificaiton for the critical infrastructure  dependencies</t>
  </si>
  <si>
    <t>Method / principle / process: It distinguishes infrastructure systems and assets, services, dependencies, hazards, stakeholders, vulnerabilities, resilience solutions, projects, funding and performance measures.
Evidence section(s): Section 1 Lay the foundation for the resilience concepts, stakeholder engagement; Section 2 Critical Infrastructure Identificaiton for the critical infrastructure  dependencies</t>
  </si>
  <si>
    <t xml:space="preserve">Method / principle / process: The framework focuses on community and infrastructure capabilities to prepare for, withstand, adapt to and recover from disruptions.
Evidence section(s): Section 2 Critical Infrastucture identfication </t>
  </si>
  <si>
    <t xml:space="preserve">Method / principle / process: It is sector- and hazard-neutral and can be applied by different jurisdictions, infrastructure owners and community partners.
Evidence section(s): Section 2 Critical Infrastucture identfication </t>
  </si>
  <si>
    <t>Method / principle / process: Success conditions are established through locally defined resilience goals, prioritized projects, implementation milestones and performance monitoring.
Evidence section(s): Section 2 Critical Infrastucture identfication and Section 4 Develop Actions</t>
  </si>
  <si>
    <t>Method / principle / process: It encourages use of measurable objectives, assessments and project tracking, but does not impose one universal metric or scoring system.
Evidence section(s): Section 2 Critical Infrastucture identfication  and Section 4 Develop Actions</t>
  </si>
  <si>
    <t>Method / principle / process: Preparation and planning are the core purpose, including stakeholder organization, infrastructure and dependency identification, risk assessment and project prioritization.
Evidence section(s): Scattered around: Section 3 Risk Assesment mentios specifically, other sections imply</t>
  </si>
  <si>
    <t>Method / principle / process: Detection and analysis are addressed through data collection, risk and dependency assessment and monitoring, but not as a technical cyber-detection framework.
Evidence section(s): Section 5.2 specifically go after monitoring and evaluation</t>
  </si>
  <si>
    <t>Method / principle / process: Response is considered as one part of resilience planning and coordination, but detailed incident-response procedures are outside its main scope.
Evidence section(s): Section 5.3 implies this but does not focus on it</t>
  </si>
  <si>
    <t>Method / principle / process: Recovery and improvement are strongly covered through restoration planning, resilient project implementation, monitoring and iterative updates.
Evidence section(s): Section 5.3 specifically mentions it</t>
  </si>
  <si>
    <t>Method / principle / process: It provides strong operational planning and infrastructure-engineering decision support, although detailed technical system design is supplied by sector specialists.
Evidence section(s): Section 2 is all about planning</t>
  </si>
  <si>
    <t xml:space="preserve">Method / principle / process: Cyber risk can be included, but IRPF is an all-hazards infrastructure-resilience planning framework rather than a cyber-specific standard.
Evidence section(s): Scattered in all sections, but specifically in Section 3: Risk assessment  </t>
  </si>
  <si>
    <t>Method / principle / process: It supports coordination and preparedness for incidents but does not prescribe cyber incident-response playbooks, forensics or containment procedures.
Evidence section(s): Section 4 Develop actions explains coordination.
Implicit IR process is defined.</t>
  </si>
  <si>
    <t>Method / principle / process: Risk management is central through hazard, vulnerability, consequence and dependency assessment and prioritization of resilience investments.
Evidence section(s): Desction 3 is dedicated to Risk management</t>
  </si>
  <si>
    <t xml:space="preserve">Method / principle / process: It is explicitly adaptable across infrastructure sectors, communities, hazards and jurisdictions.
Evidence section(s): Section 2 describes the adaptibility </t>
  </si>
  <si>
    <t>Method / principle / process: It supports strategic community goals, system and asset analysis, dependencies, projects and implementation tasks at multiple levels.
Evidence section(s): Section 1 Lay the foundation and and particularly Section 1.5 Establish goals and objectives</t>
  </si>
  <si>
    <t>Method / principle / process: The framework is iterative and encourages updating plans, assessments and projects as conditions, risks and priorities change.
Evidence section(s): Section 2 Critical Infrastructuree Identificaitona nd specifically Section 2.3 Identify dependencies.</t>
  </si>
  <si>
    <t>Method / principle / process: The framework groups concepts into CPS modelling, disturbance or attack scenarios, performance degradation, resilience phases, quantitative indicators, mathematical aggregation and simulation validation.
Evidence section(s): Section 3 CPS Resilience Quantitative Assessment Framework for the mathematical modelling and resilience-index definition</t>
  </si>
  <si>
    <t>Method / principle / process: It presents a clear hierarchy from system and scenario models to phase-specific indicators and an overall resilience assessment.
Evidence section(s): Section 3 CPS Resilience Quantitative Assessment Framework for the mathematical modelling and resilience-index definition</t>
  </si>
  <si>
    <t>Method / principle / process: It distinguishes cyber and physical components, normal and disrupted states, attack inputs, system performance, resilience phases, indicators and aggregate scores.
Evidence section(s): Section 3 CPS Resilience Quantitative Assessment Framework for the mathematical modelling and resilience-index definition</t>
  </si>
  <si>
    <t>Method / principle / process: The approach evaluates CPS capabilities to resist degradation, absorb disruption and recover performance.
Evidence section(s):  Section 3 CPS Resilience Quantitative Assessment Framework and particularly Figure 2</t>
  </si>
  <si>
    <t>Method / principle / process: The mathematical framework is generally reusable, but model parameters, performance functions and scenarios are domain dependent.
Evidence section(s): Section 3.2. Physical Domain: System Performance Modeling for the mathematical modelling</t>
  </si>
  <si>
    <t>Method / principle / process: Quantitative assessment is the main contribution, using mathematical models and simulations to calculate resilience indicators and overall scores.
Evidence section(s): Section 3.2. Physical Domain: System Performance Modeling and sepcifically 3.2.1. Performance Curve and Resilience Stages</t>
  </si>
  <si>
    <t>Method / principle / process: Success is defined by maintaining higher performance during disruption and achieving faster or more complete recovery, reflected in the calculated resilience measures.
Evidence section(s): Section 3.2. Physical Domain: System Performance Modeling and sepcifically 3.2.1. Performance Curve and Resilience Stages</t>
  </si>
  <si>
    <t>Method / principle / process: Preparation is supported through baseline system modelling, scenario design and pre-event resilience evaluation.
Evidence section(s): Built-in in section 3.1. Quantitative Assessment Framework for Cyber–Physical Coupling. 
Implied, not explicit</t>
  </si>
  <si>
    <t>Method / principle / process: Analysis is central through mathematical modelling and simulation of degradation and recovery. Live detection and diagnosis are not developed.
Evidence section(s):  Built-in in section 3.1. Quantitative Assessment Framework for Cyber–Physical Coupling. 
Implied, not explicit</t>
  </si>
  <si>
    <t>Method / principle / process: The framework evaluates responses and system trajectories but does not prescribe operational response actions or incident workflows.
Evidence section(s):  Built-in in section 3.1. Quantitative Assessment Framework for Cyber–Physical Coupling. 
Implied, not explicit</t>
  </si>
  <si>
    <t>Method / principle / process: Recovery is explicitly quantified through post-disruption performance trajectories; results can guide design improvement.
Evidence section(s):  Built-in in section 3.1. Quantitative Assessment Framework for Cyber–Physical Coupling. 
Implied, not explicit</t>
  </si>
  <si>
    <t>Method / principle / process: Cyber-physical attacks and resilience are central, though the method is more assessment-oriented than a broad cyber programme.
Evidence section(s):  Section 3.3. Cyber Layer: Security Architecture and Modeling</t>
  </si>
  <si>
    <t>Method / principle / process: Engineering support is strong for modelling, simulation and quantitative comparison; operational-process support is limited.
Evidence section(s):  Section 3. CPS Resilience Quantitative Assessment Framework and specifically Section 3.3. Cyber Layer: Security Architecture and Modeling</t>
  </si>
  <si>
    <t>Method / principle / process: It can evaluate incident effects and recovery but does not define incident-management roles, containment or communications.
Evidence section(s): implied in Section 3. CPS Resilience Quantitative Assessment Framework</t>
  </si>
  <si>
    <t>Method / principle / process: The metrics can support risk-informed design and prioritization, but likelihood, ownership and governance are not fully addressed.
Evidence section(s): Implied in Section 3.4.2. Integrated Benchmarking Process</t>
  </si>
  <si>
    <t>Method / principle / process: The mathematical method can be adapted to different CPS sectors by changing system models, scenarios and performance functions.
Evidence section(s): Section 3.3.1. Diversity-Redundancy Security Architecture; Discussed also in Section 4. Case Study of Industrial Control Systems</t>
  </si>
  <si>
    <t>Method / principle / process: It supports component, phase, indicator and aggregate levels of assessment.
Evidence section(s): : Section 3.3.1. Diversity-Redundancy Security Architecture; Discussed also in Section 4. Case Study of Industrial Control Systems</t>
  </si>
  <si>
    <t>Method / principle / process: Models and indicators can be updated as systems, threats and operational requirements evolve, though formal maintenance governance is not specified.
Evidence section(s): Discussed in Section 5 Conclusions as part of future work</t>
  </si>
  <si>
    <t>Method / principle / process: It distinguishes distributed energy resources, local controllers, communication links, attack signals, observers or compensators, control inputs and electrical performance variables.
Evidence section(s): Section 3. Proposed cyber-resilient distributed secondary control for FDI attack model</t>
  </si>
  <si>
    <t>Method / principle / process: It has a clear control-engineering hierarchy from microgrid and attack models to resilient controller design, stability proof and performance validation.
Evidence section(s): Section 3. Proposed cyber-resilient distributed secondary control for the FDI attack model and Section 2.3. Cyber-Attack modeling for the threats considered</t>
  </si>
  <si>
    <t>Method / principle / process: The strategy groups concepts into islanded microgrid dynamics, distributed secondary control, false-data-injection attacks, attack detection or compensation, resilient control laws and stability analysis.
Evidence section(s): Section 3. Proposed cyber-resilient distributed secondary control for the FDI attack model</t>
  </si>
  <si>
    <t>Method / principle / process: The work is strongly capability focused, providing a distributed control capability that maintains voltage and frequency regulation under FDI attacks.
Evidence section(s): Section 3. Proposed cyber-resilient distributed secondary control for the strategy against FDI attack against the microgrid model,</t>
  </si>
  <si>
    <t>Method / principle / process: The control principles may transfer, but the specification is closely tied to islanded AC microgrids and distributed secondary control.
Evidence section(s): Section 3. Proposed cyber-resilient distributed secondary control and Subsection 2.3 Cyber-Attack modeling</t>
  </si>
  <si>
    <t xml:space="preserve">Method / principle / process: Success is explicit when closed-loop stability and acceptable voltage, frequency and power-sharing performance are maintained or restored despite attacks.
Evidence section(s): Section 4. Results and discussion and especially Figure 7, </t>
  </si>
  <si>
    <t>Method / principle / process: It provides quantitative stability analysis and simulation results for voltage, frequency, current sharing and attack-rejection performance.
Evidence section(s): Section 4. Results and discussion and especially Figure 7. Partially: Section 4.2. Performance of conventional secondary control against communication link and actuator cyber-attacks &amp; Section 4.3. Performance of proposed resilient distributed secondary control strategy against communication link and actuator cyber-attacks</t>
  </si>
  <si>
    <t>Method / principle / process: Preparation is supported by designing and validating the resilient controller before deployment.
Evidence section(s): Implied in Section 3. Proposed cyber-resilient distributed secondary control strategy against FDI attack</t>
  </si>
  <si>
    <t>Method / principle / process: Attack effects are estimated or compensated within the control strategy, but broader monitoring, diagnosis and forensic analysis are not addressed.
Evidence section(s): Implied in Section 3. Proposed cyber-resilient distributed secondary control strategy against FDI attack</t>
  </si>
  <si>
    <t>Method / principle / process: Automated technical response is central through resilient distributed control actions that reject or compensate for malicious data.
Evidence section(s): Implied in Section 3. Proposed cyber-resilient distributed secondary control strategy against FDI attack</t>
  </si>
  <si>
    <t>Method / principle / process: Recovery is supported by returning electrical variables to desired values after attack effects; broader organizational improvement is outside scope.
Evidence section(s): Implied in Section 3. Proposed cyber-resilient distributed secondary control strategy against FDI attack</t>
  </si>
  <si>
    <t>Method / principle / process: Engineering and operational control support are strong for microgrid implementation and stability.
Evidence section(s):  Section 3. Proposed cyber-resilient distributed secondary control for the FDI attack model and Section 2. Problem statement and main concepts</t>
  </si>
  <si>
    <t>Method / principle / process: Cyber resilience against false-data-injection attacks is central.
Evidence section(s):  Section 3. Proposed cyber-resilient distributed secondary control for the FDI attack model and Section 2. Problem statement and main concepts</t>
  </si>
  <si>
    <t>Method / principle / process: It provides automated mitigation and restoration but not organizational incident-response procedures.
Evidence section(s):  Section 3. Proposed cyber-resilient distributed secondary control for the FDI attack model and Section 2. Problem statement and main concepts</t>
  </si>
  <si>
    <t>Method / principle / process: Risk management is only indirect; the paper designs control against assumed attacks rather than assessing and governing risk.
Evidence section(s):  Section 3. Proposed cyber-resilient distributed secondary control for the FDI attack model and Section 2. Problem statement and main concepts</t>
  </si>
  <si>
    <t>Method / principle / process: The approach is mainly specific to islanded AC microgrids; transfer to other sectors would require new dynamics and controllers.
Evidence section(s):  Section 3. Proposed cyber-resilient distributed secondary control for the FDI attack model - states the microgids specifically</t>
  </si>
  <si>
    <t>Method / principle / process: It ranges from system dynamics and network topology to controller equations and component performance.
Evidence section(s):  Section 3. Proposed cyber-resilient distributed secondary control for the FDI attack model decomposed to show multiple abstraction levels .</t>
  </si>
  <si>
    <t>Method / principle / process: The controller can be extended for new models and attack assumptions, but formal framework evolution is not defined.
Evidence section(s): Section 3. Proposed cyber-resilient distributed secondary control combined with Section 5. Conclusions</t>
  </si>
  <si>
    <t>Method / principle / process: It distinguishes system states, nonlinear functions, neural-network approximators, attacks and disturbances, sliding surfaces, control inputs and guaranteed-performance bounds.
Evidence section(s): Section 2 for the nonlinear CPS model, Section 3 for the attack/disturbance assumptions, neural-network approximation, guaranteed-performance sliding-mode controller and Section 4 for Stability analysis</t>
  </si>
  <si>
    <t>Method / principle / process: It provides a formal hierarchy from plant and threat models to controller and neural estimator design, performance constraints, stability proof and simulation.
Evidence section(s): Section 2 for the nonlinear CPS model, Section 3 for the attack/disturbance assumptions, neural-network approximation, guaranteed-performance sliding-mode controller and Section 4 for Stability analysis</t>
  </si>
  <si>
    <t>Method / principle / process: The method groups concepts into nonlinear CPS dynamics, neural-network approximation, cyberattack or uncertainty models, sliding-mode security control, prescribed performance and stability analysis.
Evidence section(s): Section 2 for the nonlinear CPS model, Section 3 for the attack/disturbance assumptions, neural-network approximation, guaranteed-performance sliding-mode controller and Section 4 for Stability analysis</t>
  </si>
  <si>
    <t>Method / principle / process: The work focuses on the capability to maintain guaranteed tracking and stability performance under cyber threats and nonlinear uncertainty.
Evidence section(s):  Section 3 for the attack/disturbance assumptions, neural-network approximation, guaranteed-performance sliding-mode controller and Section 4 for Stability analysis</t>
  </si>
  <si>
    <t>Method / principle / process: It produces quantitative error bounds, convergence and stability guarantees, and simulation results.
Evidence section(s): Section 3 for the attack/disturbance assumptions, neural-network approximation, guaranteed-performance sliding-mode controller and Section 4 for Stability analysis; Section 5 Simulation analysis for the símulaiton results</t>
  </si>
  <si>
    <t>Method / principle / process: Success is explicit when tracking errors remain within prescribed bounds and closed-loop stability is guaranteed despite attacks and uncertainty.
Evidence section(s): Section 3 for the attack/disturbance assumptions, neural-network approximation, guaranteed-performance sliding-mode controller and Section 4 for Stability analysis; Section 5 Simulation analysis for the result proof of success</t>
  </si>
  <si>
    <t>Method / principle / process: The control architecture is mathematically general, but its assumptions and implementation are specific to nonlinear CPS control problems.
Evidence section(s): Section 3 for the attack/disturbance assumptions, neural-network approximation, guaranteed-performance sliding-mode controller and Section 4 for Stability analysis</t>
  </si>
  <si>
    <t>Method / principle / process: Preparation is supported through controller synthesis and offline selection of guaranteed-performance bounds.
Evidence section(s): Section 3 for the attack/disturbance assumptions, neural-network approximation, guaranteed-performance sliding-mode controller</t>
  </si>
  <si>
    <t>Method / principle / process: The neural and control mechanisms estimate uncertainty or attack effects, but explicit security monitoring and forensic analysis are not covered.
Evidence section(s): Section 3 for the neural-network approximation</t>
  </si>
  <si>
    <t>Method / principle / process: Response is central through real-time sliding-mode control that compensates for attacks and disturbances.
Evidence section(s): Section 3 for real-time sliding-mode control in the security strategy</t>
  </si>
  <si>
    <t>Method / principle / process: Recovery is represented by convergence of system states and tracking errors after disturbance, while broader improvement processes are outside scope.
Evidence section(s): Section 3 for real-time sliding-mode control in the security strategy</t>
  </si>
  <si>
    <t>Method / principle / process: Engineering support is strong through formal controller design and proof; operational support is embedded in automated control.
Evidence section(s):Sections 3 and 4 for the  formal controller design and proof</t>
  </si>
  <si>
    <t>Method / principle / process: Cyber-physical security control is central, though the focus is narrow and control-oriented.
Evidence section(s):Section 3 targets specifically DDoS attack</t>
  </si>
  <si>
    <t xml:space="preserve">Method / principle / process: It provides automated technical mitigation but not incident-management processes.
Evidence section(s): Principle or mitigation in Section 3, Applicaiton in Section 4
</t>
  </si>
  <si>
    <t>Method / principle / process: Risk management is not explicit; assumed attack conditions are treated as control-design inputs rather than governed risks.
Evidence section(s): no explicit risk managent</t>
  </si>
  <si>
    <t>Method / principle / process: The mathematical method may transfer to other nonlinear CPS, but requires model- and application-specific controller design.
Evidence section(s): Section 3, subsection 3.3 principles can be extendable to other domains</t>
  </si>
  <si>
    <t xml:space="preserve">Method / principle / process: It offers detailed system estimator, controller and performance-bound levels, but little strategic abstraction.
Evidence section(s): Section 3 is targeted to DDoS for CPS </t>
  </si>
  <si>
    <t xml:space="preserve">Method / principle / process: Neural estimators and controllers can be retrained or redesigned as models and attacks change, without a formal evolution process.
Evidence section(s): Section 6 Conclusions </t>
  </si>
  <si>
    <t>Method / principle / process: ERINDA groups concepts into industrial-network traffic, DDoS attack detection, adaptive defence, service degradation, recovery mechanisms and resilience evaluation.
Evidence section(s): Section 4. ERINDA: A novel framework for enhancing the resilience of industrial networks against distributed denial-of-service attacks and specifically Figure 1</t>
  </si>
  <si>
    <t>Method / principle / process: A clear operational hierarchy links monitoring and detection to mitigation, adaptive recovery and evaluation of restored network performance.
Evidence section(s): Section 4. ERINDA: A novel framework for enhancing the resilience of industrial networks against distributed denial-of-service attacks and specifically Figure 1</t>
  </si>
  <si>
    <t>Method / principle / process: It distinguishes industrial devices and network services, normal and attack traffic, detection models, mitigation actions, recovery states and performance metrics.
Evidence section(s): Section 4. ERINDA: A novel framework for enhancing the resilience of industrial networks against distributed denial-of-service attacks and specifically Figure 1</t>
  </si>
  <si>
    <t>Method / principle / process: The framework is strongly capability focused, combining DDoS detection, adaptive mitigation and recovery to maintain industrial-network services.
Evidence section(s): Section 4. ERINDA: A novel framework for enhancing the resilience of industrial networks against distributed denial-of-service attacks and specifically Section 4.1</t>
  </si>
  <si>
    <t>Method / principle / process: The architecture may be reusable for other networks, but its design and validation are tailored to industrial networks and DDoS attacks.
Evidence section(s): Section 4. ERINDA: A novel framework for enhancing the resilience of industrial networks against distributed denial-of-service attacks and Section 5. Experiments and performance evaluation methodology</t>
  </si>
  <si>
    <t>Method / principle / process: It provides measurable detection accuracy, latency, throughput, service availability, recovery time and resilience improvements.
Evidence section(s): Section 4. ERINDA: A novel framework for enhancing the resilience of industrial networks against distributed denial-of-service attacks and Section 5. Experiments and performance evaluation methodology</t>
  </si>
  <si>
    <t>Method / principle / process: Success is defined by accurate and timely detection, reduced attack impact and rapid restoration of acceptable network performance.
Evidence section(s): Section 4. ERINDA: A novel framework for enhancing the resilience of industrial networks against distributed denial-of-service attacks and Section 5. Experiments and performance evaluation methodology</t>
  </si>
  <si>
    <t xml:space="preserve">Method / principle / process: Preparation is supported through training, configuration and baseline modelling before operation.
Evidence section(s): Section 4. ERINDA: A novel framework for enhancing the resilience of industrial networks against distributed denial-of-service attacks </t>
  </si>
  <si>
    <t xml:space="preserve">Method / principle / process: Detection and analysis are central through continuous traffic analysis and DDoS classification.
Evidence section(s):Section 4. ERINDA: A novel framework for enhancing the resilience of industrial networks against distributed denial-of-service attacks </t>
  </si>
  <si>
    <t xml:space="preserve">Method / principle / process: Response is central through adaptive mitigation actions after detection.
Evidence section(s): Section 4. ERINDA: A novel framework for enhancing the resilience of industrial networks against distributed denial-of-service attacks </t>
  </si>
  <si>
    <t xml:space="preserve">Method / principle / process: Recovery is an explicit feature, with adaptive restoration of network services; evaluation results support further improvement.
Evidence section(s): Section 4. ERINDA: A novel framework for enhancing the resilience of industrial networks against distributed denial-of-service attacks </t>
  </si>
  <si>
    <t xml:space="preserve">Method / principle / process: Engineering and operational support are strong for network monitoring, defence deployment and recovery.
Evidence section(s): Section 4. ERINDA: A novel framework for enhancing the resilience of industrial networks against distributed denial-of-service attacks </t>
  </si>
  <si>
    <t xml:space="preserve">Method / principle / process: Cyber resilience against DDoS attacks is the framework's primary focus.
Evidence section(s):Section 4. ERINDA: A novel framework for enhancing the resilience of industrial networks against distributed denial-of-service attacks </t>
  </si>
  <si>
    <t xml:space="preserve">Method / principle / process: It covers technical detection, mitigation and recovery but not the full organizational incident-response lifecycle.
Evidence section(s): Section 4. ERINDA: A novel framework for enhancing the resilience of industrial networks against distributed denial-of-service attacks </t>
  </si>
  <si>
    <t xml:space="preserve">Method / principle / process: It reduces operational risk but does not provide a complete risk-assessment, ownership and governance method.
Evidence section(s): Section 4. ERINDA: A novel framework for enhancing the resilience of industrial networks against distributed denial-of-service attacks </t>
  </si>
  <si>
    <t>Method / principle / process: The detection and recovery pattern may be adapted to other networked sectors, but models and operational requirements need tailoring.
Evidence section(s): Section 4. ERINDA: A novel framework for enhancing the resilience of industrial networks against distributed denial-of-service attacks and Section 5.3. Performance evaluation metrics</t>
  </si>
  <si>
    <t>Method / principle / process: It covers network-wide service performance, traffic flows, detection models and recovery actions at multiple technical levels.
Evidence section(s): Section 4 (implicit) but more specific in Section 5.3. Performance evaluation metrics</t>
  </si>
  <si>
    <t>Method / principle / process: Adaptive models and policies can be updated for new attack patterns, providing technical evolvability though formal governance is not defined.
Evidence section(s): Section 7 conclusions (future work)</t>
  </si>
  <si>
    <t>Method / principle / process: The approach groups concepts into an industrial CPS and its digital twin, process and attack models, state estimation, resilient model-predictive control, constraints, optimization and performance validation.
Evidence section(s): Section III. DIGITAL TWIN-BASED RESILIENT MPC FRAMEWORK</t>
  </si>
  <si>
    <t>Method / principle / process: It provides a clear engineering hierarchy from plant and digital-twin models to attack estimation, predictive optimization, control action and closed-loop validation.
Evidence section(s):  Section III. DIGITAL TWIN-BASED RESILIENT MPC FRAMEWORK</t>
  </si>
  <si>
    <t>Method / principle / process: It distinguishes the physical process, digital twin, sensors and actuators, cyberattack signals, estimated states, prediction model, constraints and control inputs.
Evidence section(s):  Section III. DIGITAL TWIN-BASED RESILIENT MPC FRAMEWORK</t>
  </si>
  <si>
    <t>Method / principle / process: Recovery and improvement are explicit core concerns. The Recover goal and Reconstitute objective address restoring system and mission functionality. The Adapt goal, supported by Transform and Re-Architect, addresses learning, redesign, architectural change, and adjustment to evolving threats and operational conditions.
Evidence section(s): Ch. 2 cyber-resiliency Goals/Objectives/Techniques/Approaches: Recover and Adapt goals, including Reconstitute, Transform and Re-Architect objectives/techniques.</t>
  </si>
  <si>
    <t>Method / principle / process: Response is strongly addressed through objectives such as Constrain and Continue, and techniques including Adaptive Response, Segmentation, Privilege Restriction, Dynamic Positioning, and Coordinated Protection. These support containment, reconfiguration, isolation, failover, damage limitation, and continuation of essential functions during attacks.
Evidence section(s): Ch. 2 cyber-resiliency Goals/Objectives/Techniques/Approaches: Withstand goal and Continue, Constrain, Coordinate, Deceive, Diversity, Dynamic Positioning, Non-Persistence and Segmentation techniques as applicable.</t>
  </si>
  <si>
    <t>Method / principle / process: Detection and analysis are strongly covered through Analytic Monitoring, Dynamic Representation, and related implementation approaches such as monitoring and damage assessment, sensor fusion, threat analysis, malware analysis, and forensic analysis.
Evidence section(s): Ch. 2 cyber-resiliency Goals/Objectives/Techniques/Approaches: Understand objective and Analytic Monitoring / Contextual Awareness-related techniques and approaches.</t>
  </si>
  <si>
    <t>Method / principle / process: The model focuses on capabilities needed to test weapon-system cybersecurity, identify mission-relevant weaknesses, verify protection measures and support authorization decisions throughout acquisition.
Evidence section(s): Section Systems Security Engineering Framework, Figure 10</t>
  </si>
  <si>
    <t>Method / principle / process: The four-phase method is largely vendor neutral, but its specification is tailored to military weapon systems, the U.S. RMF and the defence acquisition and test-and-evaluation context.
Evidence section(s): Section 3.2 and Section 3.5</t>
  </si>
  <si>
    <t>Method / principle / process: The CAS simulation calculates node and mission performance before and after cyberattack, identifies vulnerabilities and evaluates protection measures, producing quantitative and comparable test results.
Evidence section(s): Evidence section(s): Section 3.2 and Section 3.5</t>
  </si>
  <si>
    <t>Method / principle / process: It distinguishes missions, weapon-system layers and nodes, cyber assets, attack surfaces, vulnerabilities, attack paths, protection measures, security controls and evaluation results, with each serving a separate analytical role.
Evidence section(s): Section 2 System engineering overview and Section 3 System Security Concepts</t>
  </si>
  <si>
    <t>Method / principle / process: A clear process hierarchy runs from mission and RMF context to threat scenarios, attack surfaces, vulnerabilities, simulated attacks, protection verification and RMF feedback. It is a workflow hierarchy rather than a formal taxonomy.
Evidence section(s): Section 2 System engineering overview and Sectio 3 System Security Concepts</t>
  </si>
  <si>
    <t>Method / principle / process: The paper groups the method into four coherent phases: threat modelling, attack-surface listing, attack-surface-centred vulnerability analysis and evaluation, and rules-of-engagement-based simulated penetration. These phases are linked to RMF activities and mission effects.
Evidence section(s): Section 2 System engineering overview and Sectio 3 System Security Concepts</t>
  </si>
  <si>
    <t>Method / principle / process: Success is defined through identifying mission-relevant vulnerabilities and verifying that implemented protection measures and RMF security controls remain effective under simulated penetration.
Evidence section(s): Evidence section(s): Section 3.2 and Section 3.8</t>
  </si>
  <si>
    <t>Method / principle / process: Preparation is strongly covered through lifecycle integration, threat modelling, attack-surface identification, test planning, rules of engagement and early vulnerability assessment during weapon-system acquisition.
Evidence section(s): Appendix I, subsection I.1 Project planning -</t>
  </si>
  <si>
    <t>Method / principle / process: The model supports response indirectly by identifying vulnerabilities and protection gaps and feeding results into RMF control selection and remediation. It does not define a complete operational incident-response process.
Evidence section(s):  Appendix I, subsection I.4 Risk management</t>
  </si>
  <si>
    <t>Method / principle / process: Detection is represented mainly through testing rather than live monitoring. Analysis is strong: threat modelling, attack-surface analysis, vulnerability assessment, attack-path identification and mission-impact simulation are explicit.
Evidence section(s): Appendix I, subsection I.2 Project assessment and Control
Appendix H: Implementation and integration</t>
  </si>
  <si>
    <t>Method / principle / process: The method supports security improvement by validating protection measures and updating RMF controls and security plans. Operational service recovery, restoration procedures and post-incident recovery metrics are not developed.
Evidence section(s): Scattered in Appendix I and J</t>
  </si>
  <si>
    <t>Method / principle / process: Engineering support is strong because the model integrates cybersecurity testing into acquisition, system-layer modelling, simulation and control verification. Operational support is narrower and mainly concerns mission-effect evaluation.
Evidence section(s): Appendix E: Principles for trustworthy Secure Design; In addiiton: Appendix J, annex J1 Lifecycle: systems security engineering processes integrated with ISO/IEC/IEEE 15288 system life-cycle processes.</t>
  </si>
  <si>
    <t>Method / principle / process: The framework groups concepts into CPS dynamics and safety constraints, finite cyber-subsystem statuses, resilient architecture mechanisms, timing parameters, control policies, sufficient safety conditions and a computation algorithm.
Evidence section(s): Section 3 The Basic Approach, especially Section3.1 Framework structure, Section3.2 Hierarchy of national security interests and Section3.3 Operational context.</t>
  </si>
  <si>
    <t>Method / principle / process: A clear formal hierarchy proceeds from the hybrid CPS model and architecture statuses to safety constraints, derived sufficient conditions and computed control policies and timing parameters.
Evidence section(s): Section 3 The Basic Approach, especially Section3.1 Framework structure, Section3.2 Hierarchy of national security interests and Section3.3 Operational context.</t>
  </si>
  <si>
    <t>Method / principle / process: It clearly distinguishes the physical subsystem, cyber subsystem, cyber statuses, system dynamics, safety set, control policy, timing parameters and resilient mechanisms such as redundancy or restart.
Evidence section(s): Section 3 The Basic Approach, especially Section3.1 Framework structure, Section3.2 Hierarchy of national security interests and Section3.3 Operational context.</t>
  </si>
  <si>
    <t>Method / principle / process: The study is strongly capability focused: it computes control and timing capabilities required for a CPS to remain within a specified safety constraint despite faults or cyberattacks.
Evidence section(s): Section3.3 operational context / mission-criticality traceability and Section3.5.2 Appropriate level of security.</t>
  </si>
  <si>
    <t>Method / principle / process: The study provides a common mathematical representation for multiple resilient architectures and a wide class of CPS with polynomial dynamics, without prescribing a vendor or one specific architecture.
Evidence section(s): Section3.3 operational context / mission-criticality traceability and Section3.5.2 Appropriate level of security.</t>
  </si>
  <si>
    <t>Method / principle / process: The study produces quantitative timing parameters, control policies and formally derived safety conditions that can be tested in models and case studies.
Evidence section(s): Section3.3 operational context / mission-criticality traceability and Section3.5.2 Appropriate level of security.</t>
  </si>
  <si>
    <t>Method / principle / process: Success is explicit: the computed policy and timing parameters must satisfy the given safety constraint under the modelled cyber-status transitions and resilient architecture.
Evidence section(s): Section3.3 operational context / mission-criticality traceability and Section3.5.2 Appropriate level of security.</t>
  </si>
  <si>
    <t>Method / principle / process: Preparation is strong because resilient architecture, control policies and timing parameters are computed in advance to guarantee safety under anticipated faults and attacks.
Evidence section(s): Section3.1 framework structure and Section3.3 mission/context information elicitation.</t>
  </si>
  <si>
    <t>Method / principle / process: Analysis is strong through hybrid-system modelling, safety analysis and derivation of sufficient conditions. The framework does not primarily provide live intrusion detection or forensic analysis.
Evidence section(s): Section3.3–Section3.5 analysis/assessment of dependencies, criticality, threats and system complexity.</t>
  </si>
  <si>
    <t>Method / principle / process: Technical response is central: switching among cyber statuses, redundancy and restart from safe conditions are modelled, and control and timing policies govern system behaviour during faults or attacks.
Evidence section(s): Section3.5 risk/security assessment and selection of an appropriate level of security.</t>
  </si>
  <si>
    <t>Method / principle / process: Recovery is explicitly represented by mechanisms such as restarting from safe operating conditions and timing the return to trustworthy operation. Broader organizational improvement and lessons learned are outside scope.
Evidence section(s): Section 4 Conclusions and Future Work; iterative multidisciplinary group process described in Section3.1.</t>
  </si>
  <si>
    <t>Method / principle / process: Engineering support is very strong through formal modelling, safety verification and synthesis of control and timing parameters. Operational support is technical and embedded in the computed policies rather than procedural.
Evidence section(s): Section3.3 operational context plus technical ICT-system traceability within the framework.</t>
  </si>
  <si>
    <t>Method / principle / process: Cyber faults and attacks are explicit motivating conditions, but the framework addresses them through general safety-control and resilient-architecture models rather than a broad cybersecurity programme.
Evidence section(s): Section3.3–Section3.5 ICT-security requirements, vulnerabilities/threat expertise and technical-system criticality.</t>
  </si>
  <si>
    <t>Method / principle / process: It supports automated technical response and recovery through architecture-state transitions and restart timing, but not organizational incident management, communications or forensics.
Evidence section(s): crisis/mission governance relevance in Section3.3; no dedicated cyber incident-response lifecycle.</t>
  </si>
  <si>
    <t>Method / principle / process: It treats fault and attack effects as design constraints and supports trade-offs among architectures, but does not define likelihood assessment, risk ownership, acceptance or enterprise risk governance.
Evidence section(s): Section3.5 risk/security assessment and Section3.5.2 Appropriate level of security, including residual-risk acceptance.</t>
  </si>
  <si>
    <t>Method / principle / process: The authors state that the method applies to CPS domains such as robotics, industrial manufacturing and power systems and to a wide class of systems with polynomial dynamics.
Evidence section(s): Section3.2 statement that analogous hierarchies are transferable to civil sectors; Section 4 future contexts.</t>
  </si>
  <si>
    <t>Method / principle / process: It supports system-level safety requirements, architecture statuses, detailed timing parameters and control policies, providing flexible analytical depth within its formal model.
Evidence section(s): Section3.1–Section3.3 top-down hierarchy from national-security interests to FNFs, capabilities, missions, tasks and ICT systems.</t>
  </si>
  <si>
    <t>Method / principle / process: The common hybrid model explicitly allows incorporation of new resilient architectures, making evolvability a stated feature of the approach.
Evidence section(s): Section3.1 multidisciplinary iterative process and Section 4 further development/testing in new contexts.</t>
  </si>
  <si>
    <t>Method / principle / process: The framework is logically grouped into four explicit steps: Identify production goals, vulnerabilities and resilience mechanisms; Establish performance targets; Select mechanisms and trigger strategies; and Deploy them with threat-severity evaluation.
Evidence section(s):  Sections 1–3: policy, responsibilities and RMF procedures; RMF step descriptions and governance roles.</t>
  </si>
  <si>
    <t>Method / principle / process: A clear sequential hierarchy links production goals and vulnerabilities to target performance states, mechanism selection and operational deployment. The structure is process based rather than a broad conceptual taxonomy.
Evidence section(s):  Sections 1–3: policy, responsibilities and RMF procedures; RMF step descriptions and governance roles.</t>
  </si>
  <si>
    <t>Method / principle / process: It distinguishes production goals, vulnerabilities, resilience-enhancing mechanisms, performance measures, operating states, threat severity, trigger strategies and deployed mechanisms.
Evidence section(s):  Sections 1–3: policy, responsibilities and RMF procedures; RMF step descriptions and governance roles.</t>
  </si>
  <si>
    <t>Method / principle / process: The framework is strongly capability focused because it determines which resilience mechanisms a cyber-manufacturing system needs to maintain or regain production performance under cyberattack.
Evidence section(s): Section 3.2 a Prepare, tasks P1, P-2, P-7, P-8 and P-14. In addition Section 4 Cybersectuirty Risk Governance, subsection 4.3 and Sections 2.1, 2.2 and 2.7</t>
  </si>
  <si>
    <t xml:space="preserve">Method / principle / process: It defines measurable production indicators including output, scrap rate and downtime at different system states, enabling comparison of operational resilience and mechanism performance.
Evidence section(s): mainly Section 3.5 Assess, Table 6 Assess tasks and Outcomes </t>
  </si>
  <si>
    <t>Method / principle / process: The four-step logic is generally reusable, but the specified performance variables, threats and mechanisms are tailored to cyber-manufacturing systems and production operations.
Evidence section(s): Section 1.2(d), Policy. Section 3.1 Overview, Section 3.2 Categorize and specifically in Table 3- Categorize tasks and Outcomes</t>
  </si>
  <si>
    <t xml:space="preserve">Method / principle / process: Success conditions are explicit through established target values for production output, scrap rate and downtime and through activation strategies intended to keep or return performance within those targets.
Evidence section(s):  mainly Section 3.5 Assess, Table 6 Assess tasks and Outcomes </t>
  </si>
  <si>
    <t>Method / principle / process: Preparation is explicit in mapping production goals, vulnerabilities and resilience mechanisms, establishing performance targets and selecting mechanisms and trigger strategies before deployment.
Evidence section(s): Section 3.1 Prepare, Section 3.2 Categorize and Section 3.3 Select activities</t>
  </si>
  <si>
    <t>Method / principle / process: Detection and analysis are supported through threat-severity evaluation and triggering decisions. The framework includes reducing detection time as a resilience objective, though detailed detection algorithms are not its main contribution.
Evidence section(s): Section  3.5 Assess and Section 3.7 Monitor activities, including security-control assessment and continuous monitoring.</t>
  </si>
  <si>
    <t>Method / principle / process: Response is strongly covered by selecting and activating resilience-enhancing mechanisms according to threat severity and operational state during cyberattacks.
Evidence section(s): Section 3.4 Implement anbd Section 3.5 Assess for corrective-action requirements and risk-response activities following findings.</t>
  </si>
  <si>
    <t>Method / principle / process: Recovery is explicit through mechanisms intended to reduce recovery time and restore production performance. Improvement is supported by evaluating outcomes and refining selected mechanisms, although a formal lessons-learned cycle is limited.
Evidence section(s): Section 7.7 Monitor, for reauthorization and system-change/corrective-action feedback.</t>
  </si>
  <si>
    <t>Method / principle / process: It supports risk-informed selection by mapping vulnerabilities and threat severity to performance consequences and mechanisms, but it does not present a full enterprise risk-management lifecycle.
Evidence section(s): Section 2.8 Supply chain risk management;   Section 3.2 for risk decisions, categorization, control selection, authorization, residual-risk acceptance and continuous monitoring.</t>
  </si>
  <si>
    <t>Method / principle / process: The framework connects engineering choices with operational production targets, deployment and triggering of mechanisms, providing strong engineering and operational support for cyber-manufacturing.
Evidence section(s): Section 1.2 Purpose and aplicability for integration with lifecycle processes, Section 2.4 for explicit system enginnering integration, Section 2.5 and Section 2.7</t>
  </si>
  <si>
    <t>Method / principle / process: Cyberattacks against connected manufacturing systems are the central problem, and the framework integrates vulnerabilities, cyber-defence mechanisms and operational consequences.
Evidence section(s): Scattered all over the framework, but explict in Section 2.7 Security and Private posture and Section 3 The process</t>
  </si>
  <si>
    <t xml:space="preserve">Method / principle / process: It provides technical incident-response support through threat evaluation, trigger strategies and mechanism activation, but does not define a complete organizational response process with roles and communications.
Evidence section(s): Section 3.7 Monitor </t>
  </si>
  <si>
    <t>Method / principle / process: The process can be transferred to other operational CPS sectors, but production goals, performance metrics, vulnerabilities and resilience mechanisms would require substantial sector-specific adaptation.
Evidence section(s): Intro: scope and applicability</t>
  </si>
  <si>
    <t>Method / principle / process: It works from high-level production goals through performance states to individual mechanisms and activation strategies, offering several useful levels of detail.
Evidence section(s): Section 3 The process; steps boekn down to taks</t>
  </si>
  <si>
    <t>Method / principle / process: The framework can incorporate new vulnerabilities, threat-severity models, performance targets and resilience mechanisms, but it does not define formal versioning or framework-maintenance governance.
Evidence section(s): Section 3, specifically 3.7 continuous monitoring, change-driven reassessment and reauthorization requirements.</t>
  </si>
  <si>
    <t>Method / principle / process: The method is strongly capability focused, using a digital twin and resilient MPC to maintain safe process control under cyberattack.
Evidence section(s): Section III. DIGITAL TWIN-BASED RESILIENT MPC FRAMEWORK</t>
  </si>
  <si>
    <t>Method / principle / process: The digital-twin and MPC principles are reusable, but the models and constraints are application- and process-specific.
Evidence section(s): Section III. DIGITAL TWIN-BASED RESILIENT MPC FRAMEWORK and the princiiples explained in Section II. SYSTEM PRELIMINARIES</t>
  </si>
  <si>
    <t xml:space="preserve">Method / principle / process: It produces quantitative tracking, constraint, estimation and control-performance results in simulation or experiments.
Evidence section(s):  mainly Section III. DIGITAL TWIN-BASED RESILIENT MPC FRAMEWORK, especially subsections B and C </t>
  </si>
  <si>
    <t xml:space="preserve">Method / principle / process: Success is explicit when the controller maintains stability, satisfies constraints and preserves acceptable process performance despite attack effects.
Evidence section(s):  mainly Section III. DIGITAL TWIN-BASED RESILIENT MPC FRAMEWORK, especially subsections B and C </t>
  </si>
  <si>
    <t xml:space="preserve">Method / principle / process: Preparation is strong through development and validation of the digital twin, attack model and predictive controller.
Evidence section(s): Evidence section(s):  mainly Section III. DIGITAL TWIN-BASED RESILIENT MPC FRAMEWORK, </t>
  </si>
  <si>
    <t xml:space="preserve">Method / principle / process: Detection and analysis are supported through twin-based state and attack estimation, though broad security monitoring and forensics are not covered.
Evidence section(s): Section III. DIGITAL TWIN-BASED RESILIENT MPC FRAMEWORK, for the digital-twin architecture, attack/state-estimation model, resilient MPC formulation, constraints/optimization, stability or feasibility analysis, </t>
  </si>
  <si>
    <t>Method / principle / process: Response is central through optimized resilient control actions generated after detecting or estimating attack effects.
Evidence section(s):  Section III. DIGITAL TWIN-BASED RESILIENT MPC FRAMEWORK,, especially subsection C</t>
  </si>
  <si>
    <t>Method / principle / process: Recovery is supported by driving the process back toward desired operating conditions; iterative model updating can improve performance.
Evidence section(s):  Section III. DIGITAL TWIN-BASED RESILIENT MPC FRAMEWORK,, especially subsection C</t>
  </si>
  <si>
    <t xml:space="preserve">Method / principle / process: Engineering and operational control support are strong through digital-twin modelling, prediction and closed-loop control.
Evidence section(s):  Section III. DIGITAL TWIN-BASED RESILIENT MPC FRAMEWORK </t>
  </si>
  <si>
    <t>Method / principle / process: Cyber-physical attack resilience is central, though the scope is control-system specific.
Evidence section(s): digital-twin architecture, attack/state-estimation model, resilient MPC formulation in section III and the principles in section II</t>
  </si>
  <si>
    <t>Method / principle / process: It provides automated technical detection, mitigation and restoration but not organizational incident-response procedures.
Evidence section(s): Section III. DIGITAL TWIN-BASED RESILIENT MPC FRAMEWORK</t>
  </si>
  <si>
    <t>Method / principle / process: Risk management is indirect; attacks and constraints are modelled for control design rather than managed through a full risk process.
Evidence section(s): vaguely represented in Section III. DIGITAL TWIN-BASED RESILIENT MPC FRAMEWORK,, especially subsection C</t>
  </si>
  <si>
    <t>Method / principle / process: The architecture can be adapted to other industrial CPS, but each application requires a validated digital twin, constraints and control model.
Evidence section(s): Section II. SYSTEM PRELIMINARIES explains the generic principles and Section V. CONCLUSION explains the limitaitons</t>
  </si>
  <si>
    <t>Method / principle / process: It supports plant, twin, estimator, optimizer and control-action levels of technical detail.
Evidence section(s): Section III. DIGITAL TWIN-BASED RESILIENT MPC FRAMEWORK</t>
  </si>
  <si>
    <t>Method / principle / process: The digital twin and controller can be updated as the process and threats change, giving strong technical evolvability without formal framework governance.
Evidence section(s): Section III. DIGITAL TWIN-BASED RESILIENT MPC FRAMEWORK, especially subsection C</t>
  </si>
  <si>
    <t>Method / principle / process: Risk management is strongly supported by explicit linkage to RMF categorization, control selection, assessment, authorization and continuous feedback from mission-based cybersecurity testing.
Evidence section(s): risk management in Appendex l subsection I4</t>
  </si>
  <si>
    <t>Method / principle / process: Cybersecurity is the central subject, including cyber threats, attack surfaces, vulnerabilities, penetration simulation, security controls and mission impact.
Evidence section(s): mainly Appendix E: Principles for trustworthy Secure Design and Appendix C: Security Policy and Requirements</t>
  </si>
  <si>
    <t>Method / principle / process: It provides technical evidence useful for incident handling and remediation, but does not specify incident declaration, responder roles, containment workflows, communications, forensics or recovery playbooks.
Evidence section(s): partially supproted by Appendix F Trustwoirhiness and Assurance
; not a dedicated incident-response playbook.</t>
  </si>
  <si>
    <t>Method / principle / process: The general test-and-evaluation logic could be adapted, but the model and examples are closely tied to military weapon-system acquisition and mission structures.
Evidence section(s):Section 1.1 – Purpose and Applicability</t>
  </si>
  <si>
    <t xml:space="preserve">Method / principle / process: It moves from mission and system-level context to layers, nodes, attack surfaces, vulnerabilities, attack paths and simulation outputs, providing several usable levels of analytical detail.
Evidence section(s): Section 1.2 – How to Use This Publication,, Appendix I, section I3 especially PL-1.1 to PL1.4, Appendix G- Tailoring </t>
  </si>
  <si>
    <t xml:space="preserve">Method / principle / process: The lifecycle linkage and feedback to RMF allow the model and security controls to be updated as threats, systems and test results change, but no formal framework-evolution mechanism is specified.
Evidence section(s): Appendix G Lifecycle processes overview </t>
  </si>
  <si>
    <t>Method / principle / process: The study is designed for general application across government, critical infrastructure, commercial, and other cyber-dependent systems. Its goals, objectives, techniques, design principles, and engineering considerations are mission and technology neutral and can be tailored to different sectors, threat environments, architectures, and operational constraints. Sector-specific risk, safety, regulatory, and mission requirements must still be supplied by the stakeholders adopting it.
Evidence section(s): scope/tailoring guidance allowing constructs to be selected and adapted to technical, operational and threat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</si>
</sst>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sz val="10"/>
      <color theme="1"/>
      <name val="Arial"/>
      <family val="2"/>
    </font>
    <font>
      <sz val="10"/>
      <color theme="1"/>
      <name val="Arial"/>
    </font>
    <font>
      <sz val="10"/>
      <color rgb="FF000000"/>
      <name val="Arial"/>
      <family val="2"/>
    </font>
    <font>
      <sz val="10"/>
      <color rgb="FF000000"/>
      <name val="Arial"/>
    </font>
    <font>
      <i/>
      <sz val="10"/>
      <color theme="2"/>
      <name val="Arial"/>
      <family val="2"/>
    </font>
    <font>
      <sz val="10"/>
      <color theme="2"/>
      <name val="Arial"/>
      <family val="2"/>
    </font>
    <font>
      <sz val="10"/>
      <name val="Arial"/>
      <family val="2"/>
    </font>
  </fonts>
  <fills count="10">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rgb="FF92D050"/>
        <bgColor indexed="64"/>
      </patternFill>
    </fill>
    <fill>
      <patternFill patternType="solid">
        <fgColor theme="9" tint="0.79998168889431442"/>
        <bgColor indexed="64"/>
      </patternFill>
    </fill>
    <fill>
      <patternFill patternType="solid">
        <fgColor theme="7"/>
      </patternFill>
    </fill>
    <fill>
      <patternFill patternType="solid">
        <fgColor theme="0"/>
      </patternFill>
    </fill>
    <fill>
      <patternFill patternType="solid">
        <fgColor theme="4" tint="0.59996337778862885"/>
        <bgColor indexed="65"/>
      </patternFill>
    </fill>
    <fill>
      <patternFill patternType="solid">
        <fgColor rgb="FFFFFF00"/>
      </patternFill>
    </fill>
  </fills>
  <borders count="20">
    <border>
      <left/>
      <right/>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top/>
      <bottom style="medium">
        <color indexed="64"/>
      </bottom>
      <diagonal/>
    </border>
    <border>
      <left/>
      <right/>
      <top style="medium">
        <color indexed="64"/>
      </top>
      <bottom style="medium">
        <color indexed="64"/>
      </bottom>
      <diagonal/>
    </border>
  </borders>
  <cellStyleXfs count="3">
    <xf numFmtId="0" fontId="0" fillId="0" borderId="0"/>
    <xf numFmtId="0" fontId="2" fillId="0" borderId="0"/>
    <xf numFmtId="0" fontId="1" fillId="0" borderId="0"/>
  </cellStyleXfs>
  <cellXfs count="115">
    <xf numFmtId="0" fontId="0" fillId="0" borderId="0" xfId="0"/>
    <xf numFmtId="0" fontId="0" fillId="0" borderId="0" xfId="0" applyAlignment="1">
      <alignment horizontal="left"/>
    </xf>
    <xf numFmtId="0" fontId="0" fillId="0" borderId="0" xfId="0" applyAlignment="1">
      <alignment horizontal="left" wrapText="1"/>
    </xf>
    <xf numFmtId="0" fontId="0" fillId="0" borderId="8" xfId="0" applyBorder="1" applyAlignment="1">
      <alignment horizontal="left"/>
    </xf>
    <xf numFmtId="0" fontId="0" fillId="0" borderId="7" xfId="0" applyBorder="1" applyAlignment="1">
      <alignment horizontal="left"/>
    </xf>
    <xf numFmtId="0" fontId="0" fillId="0" borderId="0" xfId="0" applyAlignment="1">
      <alignment horizont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vertical="center"/>
    </xf>
    <xf numFmtId="0" fontId="0" fillId="0" borderId="6" xfId="0" applyBorder="1" applyAlignment="1">
      <alignment horizontal="left" vertical="top"/>
    </xf>
    <xf numFmtId="0" fontId="0" fillId="0" borderId="0" xfId="0" applyAlignment="1">
      <alignment horizontal="left" vertical="top"/>
    </xf>
    <xf numFmtId="0" fontId="0" fillId="0" borderId="9" xfId="0" applyBorder="1" applyAlignment="1">
      <alignment horizontal="left" vertical="top"/>
    </xf>
    <xf numFmtId="0" fontId="0" fillId="0" borderId="6" xfId="0" applyBorder="1" applyAlignment="1">
      <alignment horizontal="left" vertical="top" wrapText="1"/>
    </xf>
    <xf numFmtId="2" fontId="0" fillId="0" borderId="0" xfId="0" applyNumberFormat="1" applyAlignment="1">
      <alignment vertical="center"/>
    </xf>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vertical="center"/>
    </xf>
    <xf numFmtId="0" fontId="3" fillId="0" borderId="15" xfId="0" applyFont="1" applyBorder="1" applyAlignment="1">
      <alignment vertical="top" wrapText="1"/>
    </xf>
    <xf numFmtId="0" fontId="3" fillId="0" borderId="0" xfId="0" applyFont="1" applyAlignment="1">
      <alignment vertical="top" wrapText="1"/>
    </xf>
    <xf numFmtId="2" fontId="0" fillId="3" borderId="0" xfId="0" applyNumberFormat="1" applyFill="1"/>
    <xf numFmtId="0" fontId="0" fillId="0" borderId="6" xfId="0" applyBorder="1" applyAlignment="1">
      <alignment vertical="top" wrapText="1"/>
    </xf>
    <xf numFmtId="0" fontId="0" fillId="0" borderId="10" xfId="0" applyBorder="1" applyAlignment="1">
      <alignment vertical="top" wrapText="1"/>
    </xf>
    <xf numFmtId="0" fontId="0" fillId="0" borderId="14" xfId="0" applyBorder="1" applyAlignment="1">
      <alignment vertical="top" wrapText="1"/>
    </xf>
    <xf numFmtId="0" fontId="0" fillId="2" borderId="0" xfId="0" applyFill="1"/>
    <xf numFmtId="0" fontId="0" fillId="2" borderId="5" xfId="0" applyFill="1" applyBorder="1" applyAlignment="1">
      <alignment horizontal="center"/>
    </xf>
    <xf numFmtId="0" fontId="0" fillId="2" borderId="0" xfId="0" applyFill="1" applyAlignment="1">
      <alignment horizontal="left"/>
    </xf>
    <xf numFmtId="0" fontId="0" fillId="2" borderId="14" xfId="0" applyFill="1" applyBorder="1"/>
    <xf numFmtId="0" fontId="0" fillId="2" borderId="0" xfId="0" applyFill="1" applyAlignment="1">
      <alignment horizontal="left" vertical="center"/>
    </xf>
    <xf numFmtId="2" fontId="0" fillId="0" borderId="0" xfId="0" applyNumberFormat="1"/>
    <xf numFmtId="2" fontId="0" fillId="3" borderId="0" xfId="0" applyNumberFormat="1" applyFill="1" applyAlignment="1">
      <alignment vertical="center"/>
    </xf>
    <xf numFmtId="0" fontId="0" fillId="2" borderId="0" xfId="0" applyFill="1" applyAlignment="1">
      <alignment horizontal="center"/>
    </xf>
    <xf numFmtId="2" fontId="0" fillId="2" borderId="0" xfId="0" applyNumberFormat="1" applyFill="1" applyAlignment="1">
      <alignment vertical="center"/>
    </xf>
    <xf numFmtId="0" fontId="0" fillId="2" borderId="0" xfId="0" applyFill="1" applyAlignment="1">
      <alignment horizontal="center" vertical="center"/>
    </xf>
    <xf numFmtId="2" fontId="0" fillId="2" borderId="0" xfId="0" applyNumberFormat="1" applyFill="1"/>
    <xf numFmtId="0" fontId="0" fillId="2" borderId="0" xfId="0" applyFill="1" applyAlignment="1">
      <alignment vertical="center"/>
    </xf>
    <xf numFmtId="0" fontId="0" fillId="0" borderId="14" xfId="0" applyBorder="1" applyAlignment="1">
      <alignment horizontal="center" vertical="top"/>
    </xf>
    <xf numFmtId="2" fontId="0" fillId="6" borderId="8" xfId="0" applyNumberFormat="1" applyFill="1" applyBorder="1" applyAlignment="1">
      <alignment horizontal="left"/>
    </xf>
    <xf numFmtId="0" fontId="0" fillId="9" borderId="9" xfId="0" applyFill="1" applyBorder="1" applyAlignment="1">
      <alignment horizontal="left"/>
    </xf>
    <xf numFmtId="0" fontId="0" fillId="0" borderId="0" xfId="0" applyAlignment="1">
      <alignment vertical="top"/>
    </xf>
    <xf numFmtId="0" fontId="0" fillId="0" borderId="11" xfId="0" applyBorder="1" applyAlignment="1">
      <alignment vertical="top" wrapText="1"/>
    </xf>
    <xf numFmtId="0" fontId="0" fillId="0" borderId="12" xfId="0" applyBorder="1" applyAlignment="1">
      <alignment vertical="top" wrapText="1"/>
    </xf>
    <xf numFmtId="2" fontId="0" fillId="6" borderId="12" xfId="0" applyNumberFormat="1" applyFill="1" applyBorder="1" applyAlignment="1">
      <alignment horizontal="center" vertical="top" wrapText="1"/>
    </xf>
    <xf numFmtId="0" fontId="0" fillId="9" borderId="13" xfId="0" applyFill="1" applyBorder="1" applyAlignment="1">
      <alignment horizontal="center" vertical="top"/>
    </xf>
    <xf numFmtId="0" fontId="0" fillId="9" borderId="13" xfId="0" applyFill="1" applyBorder="1" applyAlignment="1">
      <alignment vertical="top"/>
    </xf>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5" xfId="0" applyBorder="1" applyAlignment="1">
      <alignment horizontal="left" vertical="top"/>
    </xf>
    <xf numFmtId="0" fontId="0" fillId="0" borderId="4" xfId="0" applyBorder="1" applyAlignment="1">
      <alignment horizontal="left" vertical="top"/>
    </xf>
    <xf numFmtId="2" fontId="0" fillId="6" borderId="8" xfId="0" applyNumberFormat="1" applyFill="1" applyBorder="1" applyAlignment="1">
      <alignment horizontal="left" vertical="top"/>
    </xf>
    <xf numFmtId="0" fontId="0" fillId="9" borderId="9" xfId="0" applyFill="1" applyBorder="1" applyAlignment="1">
      <alignment horizontal="center" vertical="top"/>
    </xf>
    <xf numFmtId="0" fontId="0" fillId="9" borderId="9" xfId="0" applyFill="1" applyBorder="1" applyAlignment="1">
      <alignment horizontal="left" vertical="top"/>
    </xf>
    <xf numFmtId="0" fontId="0" fillId="9" borderId="0" xfId="0" applyFill="1" applyAlignment="1">
      <alignment horizontal="left" vertical="top"/>
    </xf>
    <xf numFmtId="2" fontId="0" fillId="6" borderId="5" xfId="0" applyNumberFormat="1" applyFill="1" applyBorder="1" applyAlignment="1">
      <alignment horizontal="center" vertical="top"/>
    </xf>
    <xf numFmtId="0" fontId="0" fillId="9" borderId="4" xfId="0" applyFill="1" applyBorder="1" applyAlignment="1">
      <alignment horizontal="left" vertical="top"/>
    </xf>
    <xf numFmtId="0" fontId="0" fillId="0" borderId="9" xfId="0" applyBorder="1" applyAlignment="1">
      <alignment vertical="top"/>
    </xf>
    <xf numFmtId="0" fontId="0" fillId="0" borderId="6" xfId="0" applyBorder="1" applyAlignment="1">
      <alignment vertical="top"/>
    </xf>
    <xf numFmtId="2" fontId="0" fillId="6" borderId="8" xfId="0" applyNumberFormat="1" applyFill="1" applyBorder="1" applyAlignment="1">
      <alignment horizontal="center" vertical="top"/>
    </xf>
    <xf numFmtId="0" fontId="0" fillId="9" borderId="9" xfId="0" applyFill="1" applyBorder="1" applyAlignment="1">
      <alignment vertical="top"/>
    </xf>
    <xf numFmtId="0" fontId="4" fillId="0" borderId="15" xfId="0" applyFont="1" applyBorder="1" applyAlignment="1">
      <alignment vertical="top" wrapText="1"/>
    </xf>
    <xf numFmtId="0" fontId="4" fillId="0" borderId="0" xfId="0" applyFont="1" applyAlignment="1">
      <alignment vertical="top" wrapText="1"/>
    </xf>
    <xf numFmtId="0" fontId="4" fillId="0" borderId="0" xfId="0" applyFont="1" applyAlignment="1">
      <alignment vertical="top"/>
    </xf>
    <xf numFmtId="0" fontId="0" fillId="0" borderId="14" xfId="0" applyBorder="1" applyAlignment="1">
      <alignment vertical="top"/>
    </xf>
    <xf numFmtId="0" fontId="0" fillId="0" borderId="13" xfId="0" applyBorder="1" applyAlignment="1">
      <alignment vertical="top"/>
    </xf>
    <xf numFmtId="2" fontId="0" fillId="6" borderId="12" xfId="0" applyNumberFormat="1" applyFill="1" applyBorder="1" applyAlignment="1">
      <alignment horizontal="center" vertical="top"/>
    </xf>
    <xf numFmtId="0" fontId="4" fillId="0" borderId="18" xfId="0" applyFont="1" applyBorder="1" applyAlignment="1">
      <alignment vertical="top" wrapText="1"/>
    </xf>
    <xf numFmtId="0" fontId="4" fillId="0" borderId="14" xfId="0" applyFont="1" applyBorder="1" applyAlignment="1">
      <alignment vertical="top" wrapText="1"/>
    </xf>
    <xf numFmtId="2" fontId="0" fillId="6" borderId="12" xfId="0" applyNumberFormat="1" applyFill="1" applyBorder="1" applyAlignment="1">
      <alignment horizontal="left" vertical="top"/>
    </xf>
    <xf numFmtId="0" fontId="0" fillId="9" borderId="13" xfId="0" applyFill="1" applyBorder="1" applyAlignment="1">
      <alignment horizontal="left" vertical="top"/>
    </xf>
    <xf numFmtId="0" fontId="0" fillId="9" borderId="14" xfId="0" applyFill="1" applyBorder="1" applyAlignment="1">
      <alignment horizontal="left" vertical="top"/>
    </xf>
    <xf numFmtId="0" fontId="4" fillId="0" borderId="14" xfId="0" applyFont="1" applyBorder="1" applyAlignment="1">
      <alignment vertical="top"/>
    </xf>
    <xf numFmtId="2" fontId="0" fillId="6" borderId="19" xfId="0" applyNumberFormat="1" applyFill="1" applyBorder="1" applyAlignment="1">
      <alignment horizontal="center" vertical="top"/>
    </xf>
    <xf numFmtId="0" fontId="0" fillId="0" borderId="16" xfId="0" applyBorder="1" applyAlignment="1">
      <alignment vertical="top" wrapText="1"/>
    </xf>
    <xf numFmtId="0" fontId="0" fillId="0" borderId="16" xfId="0" applyBorder="1" applyAlignment="1">
      <alignment horizontal="left" vertical="top"/>
    </xf>
    <xf numFmtId="0" fontId="0" fillId="0" borderId="16" xfId="0" applyBorder="1" applyAlignment="1">
      <alignment horizontal="left" vertical="top" wrapText="1"/>
    </xf>
    <xf numFmtId="2" fontId="0" fillId="4" borderId="0" xfId="0" applyNumberFormat="1" applyFill="1" applyAlignment="1">
      <alignment horizontal="center" vertical="top"/>
    </xf>
    <xf numFmtId="0" fontId="0" fillId="2" borderId="16" xfId="0" applyFill="1" applyBorder="1" applyAlignment="1">
      <alignment horizontal="center" vertical="top"/>
    </xf>
    <xf numFmtId="0" fontId="0" fillId="2" borderId="16" xfId="0" applyFill="1" applyBorder="1" applyAlignment="1">
      <alignment vertical="top"/>
    </xf>
    <xf numFmtId="2" fontId="0" fillId="4" borderId="10" xfId="0" applyNumberFormat="1" applyFill="1" applyBorder="1" applyAlignment="1">
      <alignment horizontal="center" vertical="top" wrapText="1"/>
    </xf>
    <xf numFmtId="0" fontId="0" fillId="5" borderId="16" xfId="0" applyFill="1" applyBorder="1" applyAlignment="1">
      <alignment horizontal="center" vertical="top"/>
    </xf>
    <xf numFmtId="0" fontId="0" fillId="5" borderId="16" xfId="0" applyFill="1" applyBorder="1" applyAlignment="1">
      <alignment vertical="top"/>
    </xf>
    <xf numFmtId="2" fontId="0" fillId="4" borderId="6" xfId="0" applyNumberFormat="1" applyFill="1" applyBorder="1" applyAlignment="1">
      <alignment horizontal="center" vertical="top"/>
    </xf>
    <xf numFmtId="2" fontId="0" fillId="5" borderId="16" xfId="0" applyNumberFormat="1" applyFill="1" applyBorder="1" applyAlignment="1">
      <alignment horizontal="center" vertical="top"/>
    </xf>
    <xf numFmtId="0" fontId="0" fillId="5" borderId="16" xfId="0" applyFill="1" applyBorder="1" applyAlignment="1">
      <alignment horizontal="left" vertical="top"/>
    </xf>
    <xf numFmtId="2" fontId="0" fillId="2" borderId="0" xfId="0" applyNumberFormat="1" applyFill="1" applyAlignment="1">
      <alignment horizontal="center" vertical="top"/>
    </xf>
    <xf numFmtId="0" fontId="0" fillId="2" borderId="0" xfId="0" applyFill="1" applyAlignment="1">
      <alignment vertical="top"/>
    </xf>
    <xf numFmtId="0" fontId="0" fillId="2" borderId="0" xfId="0" applyFill="1" applyAlignment="1">
      <alignment horizontal="center" vertical="top"/>
    </xf>
    <xf numFmtId="0" fontId="0" fillId="2" borderId="17" xfId="0" applyFill="1" applyBorder="1" applyAlignment="1">
      <alignment horizontal="center" vertical="top"/>
    </xf>
    <xf numFmtId="0" fontId="0" fillId="2" borderId="17" xfId="0" applyFill="1" applyBorder="1" applyAlignment="1">
      <alignment vertical="top"/>
    </xf>
    <xf numFmtId="0" fontId="0" fillId="0" borderId="1" xfId="0" applyBorder="1" applyAlignment="1">
      <alignment horizontal="center" vertical="top"/>
    </xf>
    <xf numFmtId="0" fontId="7" fillId="0" borderId="0" xfId="0" applyFont="1" applyAlignment="1">
      <alignment vertical="top" wrapText="1"/>
    </xf>
    <xf numFmtId="0" fontId="4" fillId="2" borderId="0" xfId="0" applyFont="1" applyFill="1" applyAlignment="1">
      <alignment vertical="top" wrapText="1"/>
    </xf>
    <xf numFmtId="0" fontId="4" fillId="2" borderId="15" xfId="0" applyFont="1" applyFill="1" applyBorder="1" applyAlignment="1">
      <alignment vertical="top"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2" fontId="0" fillId="7" borderId="3" xfId="0" applyNumberFormat="1" applyFill="1" applyBorder="1" applyAlignment="1">
      <alignment horizontal="center" vertical="center"/>
    </xf>
    <xf numFmtId="2" fontId="0" fillId="7" borderId="4" xfId="0" applyNumberFormat="1" applyFill="1" applyBorder="1" applyAlignment="1">
      <alignment horizontal="center" vertical="center"/>
    </xf>
    <xf numFmtId="0" fontId="0" fillId="8" borderId="3" xfId="0" applyFill="1" applyBorder="1" applyAlignment="1">
      <alignment horizontal="center"/>
    </xf>
    <xf numFmtId="0" fontId="0" fillId="8" borderId="4" xfId="0" applyFill="1" applyBorder="1" applyAlignment="1">
      <alignment horizontal="center"/>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8" xfId="0" applyBorder="1" applyAlignment="1">
      <alignment horizontal="center" wrapText="1"/>
    </xf>
    <xf numFmtId="0" fontId="0" fillId="0" borderId="7" xfId="0" applyBorder="1" applyAlignment="1">
      <alignment horizontal="center" wrapText="1"/>
    </xf>
    <xf numFmtId="0" fontId="0" fillId="7" borderId="8" xfId="0" applyFill="1" applyBorder="1" applyAlignment="1">
      <alignment horizontal="center" wrapText="1"/>
    </xf>
    <xf numFmtId="0" fontId="0" fillId="7" borderId="9" xfId="0" applyFill="1" applyBorder="1" applyAlignment="1">
      <alignment horizontal="center" wrapText="1"/>
    </xf>
    <xf numFmtId="0" fontId="0" fillId="0" borderId="0" xfId="0" applyAlignment="1">
      <alignment horizontal="left" wrapText="1"/>
    </xf>
    <xf numFmtId="2" fontId="0" fillId="8" borderId="8" xfId="0" applyNumberFormat="1" applyFill="1" applyBorder="1" applyAlignment="1">
      <alignment horizontal="center" vertical="center" wrapText="1"/>
    </xf>
    <xf numFmtId="2" fontId="0" fillId="8" borderId="9" xfId="0" applyNumberFormat="1" applyFill="1" applyBorder="1" applyAlignment="1">
      <alignment horizontal="center" vertical="center" wrapText="1"/>
    </xf>
    <xf numFmtId="0" fontId="0" fillId="8" borderId="8" xfId="0" applyFill="1" applyBorder="1" applyAlignment="1">
      <alignment horizontal="center" wrapText="1"/>
    </xf>
    <xf numFmtId="0" fontId="0" fillId="8" borderId="9" xfId="0" applyFill="1" applyBorder="1" applyAlignment="1">
      <alignment horizontal="center" wrapText="1"/>
    </xf>
    <xf numFmtId="0" fontId="0" fillId="0" borderId="0" xfId="0" applyAlignment="1">
      <alignment horizontal="center" wrapText="1"/>
    </xf>
    <xf numFmtId="0" fontId="0" fillId="0" borderId="16" xfId="0" applyBorder="1" applyAlignment="1">
      <alignment horizontal="left" wrapText="1"/>
    </xf>
  </cellXfs>
  <cellStyles count="3">
    <cellStyle name="Normal" xfId="0" builtinId="0"/>
    <cellStyle name="Normal 2" xfId="1" xr:uid="{3B82A03F-08E5-465A-B193-6A7906E85668}"/>
    <cellStyle name="Normal 2 2" xfId="2" xr:uid="{D55F8753-C42D-414D-A19A-0EF6DCC03E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rma">
  <a:themeElements>
    <a:clrScheme name="Custom 120">
      <a:dk1>
        <a:srgbClr val="000000"/>
      </a:dk1>
      <a:lt1>
        <a:srgbClr val="FFFFFF"/>
      </a:lt1>
      <a:dk2>
        <a:srgbClr val="F1F6FA"/>
      </a:dk2>
      <a:lt2>
        <a:srgbClr val="0065AC"/>
      </a:lt2>
      <a:accent1>
        <a:srgbClr val="848585"/>
      </a:accent1>
      <a:accent2>
        <a:srgbClr val="B0B0B1"/>
      </a:accent2>
      <a:accent3>
        <a:srgbClr val="D8D9D9"/>
      </a:accent3>
      <a:accent4>
        <a:srgbClr val="009FE3"/>
      </a:accent4>
      <a:accent5>
        <a:srgbClr val="008FCE"/>
      </a:accent5>
      <a:accent6>
        <a:srgbClr val="004376"/>
      </a:accent6>
      <a:hlink>
        <a:srgbClr val="FFC92B"/>
      </a:hlink>
      <a:folHlink>
        <a:srgbClr val="B0B0B1"/>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1"/>
        </a:solidFill>
        <a:ln>
          <a:noFill/>
        </a:ln>
      </a:spPr>
      <a:bodyPr rtlCol="0" anchor="ctr"/>
      <a:lstStyle>
        <a:defPPr algn="ctr" rtl="0" eaLnBrk="1" fontAlgn="auto" hangingPunct="1">
          <a:lnSpc>
            <a:spcPct val="100000"/>
          </a:lnSpc>
          <a:spcBef>
            <a:spcPts val="0"/>
          </a:spcBef>
          <a:spcAft>
            <a:spcPts val="0"/>
          </a:spcAft>
          <a:defRPr sz="1800" b="0" i="0" u="none" baseline="0" dirty="0" smtClean="0">
            <a:solidFill>
              <a:srgbClr val="FFFFFF"/>
            </a:solidFill>
            <a:latin typeface="Arial" panose="020B0604020202020204" pitchFamily="34" charset="0"/>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vert="horz" wrap="square" lIns="0" tIns="0" rIns="0" bIns="0" rtlCol="0">
        <a:noAutofit/>
      </a:bodyPr>
      <a:lstStyle>
        <a:defPPr algn="l" rtl="0" eaLnBrk="1" fontAlgn="auto" hangingPunct="1">
          <a:lnSpc>
            <a:spcPct val="100000"/>
          </a:lnSpc>
          <a:spcBef>
            <a:spcPts val="432"/>
          </a:spcBef>
          <a:spcAft>
            <a:spcPts val="0"/>
          </a:spcAft>
          <a:defRPr sz="1800" b="0" i="0" u="none" kern="1200" baseline="0" noProof="0" dirty="0" smtClean="0">
            <a:solidFill>
              <a:srgbClr val="000000"/>
            </a:solidFill>
            <a:latin typeface="Arial" panose="020B0604020202020204" pitchFamily="34" charset="0"/>
            <a:ea typeface="+mn-ea"/>
            <a:cs typeface="Arial" panose="020B0604020202020204" pitchFamily="34" charset="0"/>
          </a:defRPr>
        </a:defPPr>
      </a:lstStyle>
    </a:txDef>
  </a:objectDefaults>
  <a:extraClrSchemeLst/>
  <a:custClrLst>
    <a:custClr name="Terma Blue">
      <a:srgbClr val="0065AC"/>
    </a:custClr>
    <a:custClr name="Yellow">
      <a:srgbClr val="FFC92B"/>
    </a:custClr>
    <a:custClr name="BLANK">
      <a:srgbClr val="FFFFFF"/>
    </a:custClr>
    <a:custClr name="BLANK">
      <a:srgbClr val="FFFFFF"/>
    </a:custClr>
    <a:custClr name="BLANK">
      <a:srgbClr val="FFFFFF"/>
    </a:custClr>
    <a:custClr name="BLANK">
      <a:srgbClr val="FFFFFF"/>
    </a:custClr>
    <a:custClr name="BLANK">
      <a:srgbClr val="FFFFFF"/>
    </a:custClr>
    <a:custClr name="BLANK">
      <a:srgbClr val="FFFFFF"/>
    </a:custClr>
    <a:custClr name="BLANK">
      <a:srgbClr val="FFFFFF"/>
    </a:custClr>
    <a:custClr name="BLANK">
      <a:srgbClr val="FFFFFF"/>
    </a:custClr>
    <a:custClr name="Ground">
      <a:srgbClr val="009FFF"/>
    </a:custClr>
    <a:custClr name="Sea">
      <a:srgbClr val="008FCE"/>
    </a:custClr>
    <a:custClr name="Air">
      <a:srgbClr val="004376"/>
    </a:custClr>
    <a:custClr name="Space">
      <a:srgbClr val="142E4A"/>
    </a:custClr>
    <a:custClr name="BLANK">
      <a:srgbClr val="FFFFFF"/>
    </a:custClr>
    <a:custClr name="BLANK">
      <a:srgbClr val="FFFFFF"/>
    </a:custClr>
    <a:custClr name="BLANK">
      <a:srgbClr val="FFFFFF"/>
    </a:custClr>
    <a:custClr name="BLANK">
      <a:srgbClr val="FFFFFF"/>
    </a:custClr>
    <a:custClr name="BLANK">
      <a:srgbClr val="FFFFFF"/>
    </a:custClr>
    <a:custClr name="BLANK">
      <a:srgbClr val="FFFFFF"/>
    </a:custClr>
    <a:custClr name="Green">
      <a:srgbClr val="007041"/>
    </a:custClr>
    <a:custClr name="Brown">
      <a:srgbClr val="8F583B"/>
    </a:custClr>
    <a:custClr name="Orange">
      <a:srgbClr val="FF4D02"/>
    </a:custClr>
    <a:custClr name="Red">
      <a:srgbClr val="A4123F"/>
    </a:custClr>
    <a:custClr name="Purple">
      <a:srgbClr val="512D6D"/>
    </a:custClr>
  </a:custClrLst>
  <a:extLst>
    <a:ext uri="{05A4C25C-085E-4340-85A3-A5531E510DB2}">
      <thm15:themeFamily xmlns:thm15="http://schemas.microsoft.com/office/thememl/2012/main" name="Terma" id="{A4C6BB01-D74E-4057-BCF0-5619B363539C}" vid="{0FD22899-AC66-4830-B279-12C5FCECD0A4}"/>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7A19-5BBD-43A8-8DAE-444DAEDE6FDB}">
  <dimension ref="A1:H33"/>
  <sheetViews>
    <sheetView topLeftCell="A8" workbookViewId="0">
      <selection activeCell="C23" sqref="C23"/>
    </sheetView>
  </sheetViews>
  <sheetFormatPr defaultRowHeight="13.2" x14ac:dyDescent="0.25"/>
  <cols>
    <col min="3" max="3" width="40.33203125" customWidth="1"/>
  </cols>
  <sheetData>
    <row r="1" spans="1:3" x14ac:dyDescent="0.25">
      <c r="A1" t="s">
        <v>123</v>
      </c>
    </row>
    <row r="2" spans="1:3" x14ac:dyDescent="0.25">
      <c r="B2" t="s">
        <v>117</v>
      </c>
      <c r="C2" t="s">
        <v>124</v>
      </c>
    </row>
    <row r="3" spans="1:3" x14ac:dyDescent="0.25">
      <c r="B3" t="s">
        <v>118</v>
      </c>
      <c r="C3" t="s">
        <v>119</v>
      </c>
    </row>
    <row r="4" spans="1:3" x14ac:dyDescent="0.25">
      <c r="B4" t="s">
        <v>120</v>
      </c>
      <c r="C4" t="s">
        <v>121</v>
      </c>
    </row>
    <row r="8" spans="1:3" x14ac:dyDescent="0.25">
      <c r="A8" t="s">
        <v>128</v>
      </c>
    </row>
    <row r="9" spans="1:3" x14ac:dyDescent="0.25">
      <c r="B9" t="s">
        <v>129</v>
      </c>
    </row>
    <row r="10" spans="1:3" x14ac:dyDescent="0.25">
      <c r="C10" t="s">
        <v>127</v>
      </c>
    </row>
    <row r="11" spans="1:3" x14ac:dyDescent="0.25">
      <c r="B11" t="s">
        <v>130</v>
      </c>
    </row>
    <row r="19" spans="1:8" x14ac:dyDescent="0.25">
      <c r="B19" t="s">
        <v>126</v>
      </c>
    </row>
    <row r="21" spans="1:8" x14ac:dyDescent="0.25">
      <c r="B21" s="114" t="s">
        <v>125</v>
      </c>
      <c r="C21" s="114"/>
    </row>
    <row r="22" spans="1:8" x14ac:dyDescent="0.25">
      <c r="B22" s="71" t="s">
        <v>43</v>
      </c>
      <c r="C22" s="71" t="s">
        <v>44</v>
      </c>
    </row>
    <row r="23" spans="1:8" ht="92.4" x14ac:dyDescent="0.25">
      <c r="B23" s="72">
        <v>1</v>
      </c>
      <c r="C23" s="73" t="s">
        <v>139</v>
      </c>
    </row>
    <row r="26" spans="1:8" x14ac:dyDescent="0.25">
      <c r="A26" t="s">
        <v>131</v>
      </c>
    </row>
    <row r="27" spans="1:8" x14ac:dyDescent="0.25">
      <c r="B27" t="s">
        <v>45</v>
      </c>
      <c r="D27" t="s">
        <v>132</v>
      </c>
    </row>
    <row r="29" spans="1:8" x14ac:dyDescent="0.25">
      <c r="A29" t="s">
        <v>115</v>
      </c>
    </row>
    <row r="30" spans="1:8" x14ac:dyDescent="0.25">
      <c r="B30" t="s">
        <v>43</v>
      </c>
      <c r="D30" t="s">
        <v>133</v>
      </c>
    </row>
    <row r="31" spans="1:8" x14ac:dyDescent="0.25">
      <c r="B31" t="s">
        <v>46</v>
      </c>
      <c r="D31" t="s">
        <v>134</v>
      </c>
      <c r="H31" t="s">
        <v>137</v>
      </c>
    </row>
    <row r="32" spans="1:8" x14ac:dyDescent="0.25">
      <c r="D32" t="s">
        <v>135</v>
      </c>
      <c r="H32" t="s">
        <v>136</v>
      </c>
    </row>
    <row r="33" spans="4:8" x14ac:dyDescent="0.25">
      <c r="D33" t="s">
        <v>138</v>
      </c>
      <c r="H33" t="s">
        <v>120</v>
      </c>
    </row>
  </sheetData>
  <mergeCells count="1">
    <mergeCell ref="B21: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601"/>
  <sheetViews>
    <sheetView tabSelected="1" topLeftCell="O33" zoomScale="50" zoomScaleNormal="50" workbookViewId="0">
      <selection activeCell="O35" sqref="O35"/>
    </sheetView>
  </sheetViews>
  <sheetFormatPr defaultRowHeight="13.2" x14ac:dyDescent="0.25"/>
  <cols>
    <col min="1" max="1" width="8.88671875" style="5"/>
    <col min="3" max="3" width="44.33203125" customWidth="1"/>
    <col min="7" max="7" width="53.6640625" customWidth="1"/>
    <col min="9" max="9" width="59.5546875" customWidth="1"/>
    <col min="11" max="11" width="59.6640625" customWidth="1"/>
    <col min="12" max="12" width="8.88671875" style="13"/>
    <col min="13" max="13" width="8.88671875" style="14"/>
    <col min="15" max="15" width="53" customWidth="1"/>
    <col min="17" max="17" width="53.5546875" customWidth="1"/>
    <col min="19" max="19" width="52.88671875" customWidth="1"/>
    <col min="21" max="21" width="51.6640625" customWidth="1"/>
    <col min="22" max="22" width="12.33203125" style="28" customWidth="1"/>
    <col min="24" max="24" width="50.109375" bestFit="1" customWidth="1"/>
    <col min="26" max="26" width="52.5546875" customWidth="1"/>
    <col min="27" max="27" width="19.33203125" customWidth="1"/>
    <col min="28" max="28" width="55.5546875" customWidth="1"/>
    <col min="30" max="30" width="54.6640625" customWidth="1"/>
    <col min="31" max="31" width="16.33203125" customWidth="1"/>
    <col min="32" max="32" width="8.88671875" style="19"/>
    <col min="34" max="34" width="53" customWidth="1"/>
    <col min="35" max="35" width="17.6640625" customWidth="1"/>
    <col min="36" max="36" width="51.33203125" customWidth="1"/>
    <col min="38" max="38" width="60.33203125" customWidth="1"/>
    <col min="40" max="40" width="55.33203125" customWidth="1"/>
    <col min="42" max="42" width="8.88671875" style="29"/>
    <col min="43" max="43" width="8.88671875" style="16"/>
    <col min="44" max="44" width="52.88671875" customWidth="1"/>
    <col min="46" max="46" width="50.44140625" customWidth="1"/>
    <col min="47" max="47" width="13.33203125" customWidth="1"/>
    <col min="48" max="48" width="61.5546875" customWidth="1"/>
    <col min="50" max="50" width="12.88671875" style="19" customWidth="1"/>
    <col min="51" max="51" width="11.6640625" customWidth="1"/>
    <col min="52" max="52" width="11.6640625" style="23" customWidth="1"/>
    <col min="53" max="53" width="13.88671875" style="74" customWidth="1"/>
    <col min="54" max="54" width="8.88671875" style="38"/>
    <col min="55" max="55" width="17.33203125" style="78" customWidth="1"/>
    <col min="56" max="56" width="16" style="79" customWidth="1"/>
  </cols>
  <sheetData>
    <row r="1" spans="1:56" ht="13.8" thickBot="1" x14ac:dyDescent="0.3">
      <c r="F1" s="92" t="s">
        <v>0</v>
      </c>
      <c r="G1" s="93"/>
      <c r="H1" s="94" t="s">
        <v>1</v>
      </c>
      <c r="I1" s="93"/>
      <c r="J1" s="94" t="s">
        <v>2</v>
      </c>
      <c r="K1" s="93"/>
      <c r="L1" s="94" t="s">
        <v>3</v>
      </c>
      <c r="M1" s="95"/>
      <c r="N1" s="92" t="s">
        <v>4</v>
      </c>
      <c r="O1" s="93"/>
      <c r="P1" s="94" t="s">
        <v>5</v>
      </c>
      <c r="Q1" s="93"/>
      <c r="R1" s="94" t="s">
        <v>6</v>
      </c>
      <c r="S1" s="93"/>
      <c r="T1" s="94" t="s">
        <v>7</v>
      </c>
      <c r="U1" s="93"/>
      <c r="V1" s="94" t="s">
        <v>8</v>
      </c>
      <c r="W1" s="95"/>
      <c r="X1" s="92" t="s">
        <v>9</v>
      </c>
      <c r="Y1" s="96"/>
      <c r="Z1" s="94" t="s">
        <v>10</v>
      </c>
      <c r="AA1" s="93"/>
      <c r="AB1" s="96" t="s">
        <v>11</v>
      </c>
      <c r="AC1" s="96"/>
      <c r="AD1" s="94" t="s">
        <v>12</v>
      </c>
      <c r="AE1" s="93"/>
      <c r="AF1" s="94" t="s">
        <v>13</v>
      </c>
      <c r="AG1" s="95"/>
      <c r="AH1" s="96" t="s">
        <v>14</v>
      </c>
      <c r="AI1" s="96"/>
      <c r="AJ1" s="94" t="s">
        <v>15</v>
      </c>
      <c r="AK1" s="93"/>
      <c r="AL1" s="96" t="s">
        <v>16</v>
      </c>
      <c r="AM1" s="96"/>
      <c r="AN1" s="94" t="s">
        <v>17</v>
      </c>
      <c r="AO1" s="93"/>
      <c r="AP1" s="97" t="s">
        <v>18</v>
      </c>
      <c r="AQ1" s="98"/>
      <c r="AR1" s="92" t="s">
        <v>19</v>
      </c>
      <c r="AS1" s="96"/>
      <c r="AT1" s="94" t="s">
        <v>20</v>
      </c>
      <c r="AU1" s="93"/>
      <c r="AV1" s="96" t="s">
        <v>21</v>
      </c>
      <c r="AW1" s="96"/>
      <c r="AX1" s="99" t="s">
        <v>22</v>
      </c>
      <c r="AY1" s="100"/>
      <c r="BC1" s="75" t="s">
        <v>115</v>
      </c>
      <c r="BD1" s="76"/>
    </row>
    <row r="2" spans="1:56" ht="13.8" thickBot="1" x14ac:dyDescent="0.3">
      <c r="B2" s="1"/>
      <c r="C2" s="2"/>
      <c r="D2" s="1"/>
      <c r="E2" s="1"/>
      <c r="F2" s="101" t="s">
        <v>23</v>
      </c>
      <c r="G2" s="102"/>
      <c r="H2" s="103" t="s">
        <v>24</v>
      </c>
      <c r="I2" s="102"/>
      <c r="J2" s="104" t="s">
        <v>25</v>
      </c>
      <c r="K2" s="105"/>
      <c r="L2" s="106" t="s">
        <v>26</v>
      </c>
      <c r="M2" s="107"/>
      <c r="N2" s="101" t="s">
        <v>27</v>
      </c>
      <c r="O2" s="108"/>
      <c r="P2" s="103" t="s">
        <v>28</v>
      </c>
      <c r="Q2" s="102"/>
      <c r="R2" s="108" t="s">
        <v>29</v>
      </c>
      <c r="S2" s="108"/>
      <c r="T2" s="103" t="s">
        <v>30</v>
      </c>
      <c r="U2" s="108"/>
      <c r="V2" s="106" t="s">
        <v>31</v>
      </c>
      <c r="W2" s="107"/>
      <c r="X2" s="101" t="s">
        <v>32</v>
      </c>
      <c r="Y2" s="108"/>
      <c r="Z2" s="103" t="s">
        <v>33</v>
      </c>
      <c r="AA2" s="102"/>
      <c r="AB2" s="108" t="s">
        <v>34</v>
      </c>
      <c r="AC2" s="108"/>
      <c r="AD2" s="103" t="s">
        <v>35</v>
      </c>
      <c r="AE2" s="102"/>
      <c r="AF2" s="111"/>
      <c r="AG2" s="112"/>
      <c r="AH2" s="108" t="s">
        <v>36</v>
      </c>
      <c r="AI2" s="108"/>
      <c r="AJ2" s="104" t="s">
        <v>37</v>
      </c>
      <c r="AK2" s="105"/>
      <c r="AL2" s="113" t="s">
        <v>38</v>
      </c>
      <c r="AM2" s="113"/>
      <c r="AN2" s="104" t="s">
        <v>39</v>
      </c>
      <c r="AO2" s="105"/>
      <c r="AP2" s="109"/>
      <c r="AQ2" s="110"/>
      <c r="AR2" s="1" t="s">
        <v>40</v>
      </c>
      <c r="AS2" s="1"/>
      <c r="AT2" s="3" t="s">
        <v>41</v>
      </c>
      <c r="AU2" s="4"/>
      <c r="AV2" s="1" t="s">
        <v>42</v>
      </c>
      <c r="AW2" s="1"/>
      <c r="AX2" s="36"/>
      <c r="AY2" s="37"/>
      <c r="BA2" s="88" t="s">
        <v>114</v>
      </c>
      <c r="BC2" s="75" t="s">
        <v>116</v>
      </c>
      <c r="BD2" s="76" t="s">
        <v>122</v>
      </c>
    </row>
    <row r="3" spans="1:56" ht="40.200000000000003" thickBot="1" x14ac:dyDescent="0.3">
      <c r="A3" s="38"/>
      <c r="B3" s="7"/>
      <c r="C3" s="7"/>
      <c r="D3" s="38"/>
      <c r="E3" s="38"/>
      <c r="F3" s="21" t="s">
        <v>43</v>
      </c>
      <c r="G3" s="39" t="s">
        <v>44</v>
      </c>
      <c r="H3" s="40" t="s">
        <v>43</v>
      </c>
      <c r="I3" s="39" t="s">
        <v>44</v>
      </c>
      <c r="J3" s="40" t="s">
        <v>43</v>
      </c>
      <c r="K3" s="39" t="s">
        <v>44</v>
      </c>
      <c r="L3" s="41" t="s">
        <v>45</v>
      </c>
      <c r="M3" s="42" t="s">
        <v>46</v>
      </c>
      <c r="N3" s="21" t="s">
        <v>43</v>
      </c>
      <c r="O3" s="22" t="s">
        <v>44</v>
      </c>
      <c r="P3" s="40" t="s">
        <v>43</v>
      </c>
      <c r="Q3" s="39" t="s">
        <v>44</v>
      </c>
      <c r="R3" s="22" t="s">
        <v>43</v>
      </c>
      <c r="S3" s="22" t="s">
        <v>44</v>
      </c>
      <c r="T3" s="40" t="s">
        <v>43</v>
      </c>
      <c r="U3" s="22" t="s">
        <v>44</v>
      </c>
      <c r="V3" s="41" t="s">
        <v>45</v>
      </c>
      <c r="W3" s="43" t="s">
        <v>46</v>
      </c>
      <c r="X3" s="21" t="s">
        <v>44</v>
      </c>
      <c r="Y3" s="22" t="s">
        <v>43</v>
      </c>
      <c r="Z3" s="40" t="s">
        <v>44</v>
      </c>
      <c r="AA3" s="39" t="s">
        <v>43</v>
      </c>
      <c r="AB3" s="22" t="s">
        <v>44</v>
      </c>
      <c r="AC3" s="22" t="s">
        <v>43</v>
      </c>
      <c r="AD3" s="40" t="s">
        <v>44</v>
      </c>
      <c r="AE3" s="39" t="s">
        <v>43</v>
      </c>
      <c r="AF3" s="41" t="s">
        <v>45</v>
      </c>
      <c r="AG3" s="43" t="s">
        <v>46</v>
      </c>
      <c r="AH3" s="22" t="s">
        <v>44</v>
      </c>
      <c r="AI3" s="22" t="s">
        <v>43</v>
      </c>
      <c r="AJ3" s="40" t="s">
        <v>44</v>
      </c>
      <c r="AK3" s="39" t="s">
        <v>43</v>
      </c>
      <c r="AL3" s="22" t="s">
        <v>44</v>
      </c>
      <c r="AM3" s="22" t="s">
        <v>43</v>
      </c>
      <c r="AN3" s="40" t="s">
        <v>44</v>
      </c>
      <c r="AO3" s="39" t="s">
        <v>43</v>
      </c>
      <c r="AP3" s="41" t="s">
        <v>45</v>
      </c>
      <c r="AQ3" s="43" t="s">
        <v>46</v>
      </c>
      <c r="AR3" s="22" t="s">
        <v>44</v>
      </c>
      <c r="AS3" s="22" t="s">
        <v>43</v>
      </c>
      <c r="AT3" s="40" t="s">
        <v>44</v>
      </c>
      <c r="AU3" s="39" t="s">
        <v>43</v>
      </c>
      <c r="AV3" s="22" t="s">
        <v>44</v>
      </c>
      <c r="AW3" s="22" t="s">
        <v>43</v>
      </c>
      <c r="AX3" s="41" t="s">
        <v>45</v>
      </c>
      <c r="AY3" s="43" t="s">
        <v>46</v>
      </c>
      <c r="AZ3" s="24"/>
      <c r="BA3" s="77" t="s">
        <v>45</v>
      </c>
      <c r="BC3" s="78" t="s">
        <v>43</v>
      </c>
      <c r="BD3" s="79" t="s">
        <v>46</v>
      </c>
    </row>
    <row r="4" spans="1:56" ht="222.6" customHeight="1" thickBot="1" x14ac:dyDescent="0.3">
      <c r="A4" s="15">
        <v>1</v>
      </c>
      <c r="B4" s="44" t="s">
        <v>47</v>
      </c>
      <c r="C4" s="45" t="s">
        <v>48</v>
      </c>
      <c r="D4" s="46">
        <v>2011</v>
      </c>
      <c r="E4" s="47" t="s">
        <v>49</v>
      </c>
      <c r="F4" s="9">
        <v>1</v>
      </c>
      <c r="G4" s="6" t="s">
        <v>140</v>
      </c>
      <c r="H4" s="10">
        <v>1</v>
      </c>
      <c r="I4" s="6" t="s">
        <v>141</v>
      </c>
      <c r="J4" s="10">
        <v>1</v>
      </c>
      <c r="K4" s="6" t="s">
        <v>142</v>
      </c>
      <c r="L4" s="48">
        <f>AVERAGE(F4,J4,K4)</f>
        <v>1</v>
      </c>
      <c r="M4" s="49" t="str">
        <f>IF(SUM(F4:K4)=3,"FULL",IF(SUM(F4:K4)=0,"NO","PARTIAL"))</f>
        <v>FULL</v>
      </c>
      <c r="N4" s="9">
        <v>1</v>
      </c>
      <c r="O4" s="6" t="s">
        <v>143</v>
      </c>
      <c r="P4" s="10">
        <v>1</v>
      </c>
      <c r="Q4" s="6" t="s">
        <v>144</v>
      </c>
      <c r="R4" s="10">
        <v>0</v>
      </c>
      <c r="S4" s="6" t="s">
        <v>145</v>
      </c>
      <c r="T4" s="10">
        <v>1</v>
      </c>
      <c r="U4" s="6" t="s">
        <v>146</v>
      </c>
      <c r="V4" s="48">
        <f>AVERAGE(N4,P4, R4,T4)</f>
        <v>0.75</v>
      </c>
      <c r="W4" s="50" t="str">
        <f>IF(SUM(N4:T4)=4,"FULL",IF(SUM(N4:T4)=0,"NO","PARTIAL"))</f>
        <v>PARTIAL</v>
      </c>
      <c r="X4" s="6" t="s">
        <v>147</v>
      </c>
      <c r="Y4" s="10">
        <v>0.5</v>
      </c>
      <c r="Z4" s="6" t="s">
        <v>148</v>
      </c>
      <c r="AA4" s="10">
        <v>1</v>
      </c>
      <c r="AB4" s="6" t="s">
        <v>149</v>
      </c>
      <c r="AC4" s="10">
        <v>1</v>
      </c>
      <c r="AD4" s="6" t="s">
        <v>150</v>
      </c>
      <c r="AE4" s="10">
        <v>1</v>
      </c>
      <c r="AF4" s="48">
        <f>AVERAGE(Y4, AA4,AC4, AE4)</f>
        <v>0.875</v>
      </c>
      <c r="AG4" s="50" t="str">
        <f>IF(SUM(X4:AE4)=4,"FULL",IF(SUM(X4:AE4)=0,"NO","PARTIAL"))</f>
        <v>PARTIAL</v>
      </c>
      <c r="AH4" s="6" t="s">
        <v>151</v>
      </c>
      <c r="AI4" s="10">
        <v>1</v>
      </c>
      <c r="AJ4" s="6" t="s">
        <v>152</v>
      </c>
      <c r="AK4" s="10">
        <v>1</v>
      </c>
      <c r="AL4" s="6" t="s">
        <v>153</v>
      </c>
      <c r="AM4" s="10">
        <v>0.5</v>
      </c>
      <c r="AN4" s="6" t="s">
        <v>154</v>
      </c>
      <c r="AO4" s="10">
        <v>0.5</v>
      </c>
      <c r="AP4" s="48">
        <f>AVERAGE(AI4,AK4,AM4,AO4)</f>
        <v>0.75</v>
      </c>
      <c r="AQ4" s="51" t="str">
        <f>IF(SUM(AH4:AO4)=4,"FULL",IF(SUM(AH4:AO4)=0,"NO","PARTIAL"))</f>
        <v>PARTIAL</v>
      </c>
      <c r="AR4" s="7" t="s">
        <v>155</v>
      </c>
      <c r="AS4" s="46">
        <v>1</v>
      </c>
      <c r="AT4" s="45" t="s">
        <v>156</v>
      </c>
      <c r="AU4" s="46">
        <v>1</v>
      </c>
      <c r="AV4" s="45" t="s">
        <v>157</v>
      </c>
      <c r="AW4" s="46">
        <v>1</v>
      </c>
      <c r="AX4" s="52">
        <f>AVERAGE(AS4,AU4,AW4)</f>
        <v>1</v>
      </c>
      <c r="AY4" s="53" t="str">
        <f>IF(SUM(AR4:AW4)=3,"FULL",IF(SUM(AR4:AW4)=0,"NO","PARTIAL"))</f>
        <v>FULL</v>
      </c>
      <c r="AZ4" s="25"/>
      <c r="BA4" s="80">
        <f t="shared" ref="BA4:BA5" si="0">AVERAGE(AX4,AP4,AF4,V4,L4)</f>
        <v>0.875</v>
      </c>
      <c r="BB4" s="10"/>
      <c r="BC4" s="81">
        <f t="shared" ref="BC4:BC5" si="1">MIN(AX4,AP4,AF4,V4,L4)</f>
        <v>0.75</v>
      </c>
      <c r="BD4" s="82" t="str">
        <f t="shared" ref="BD4:BD5" si="2">IF(MIN(AX4,AP4,AF4,V4,L4)&gt;=0.75,"FF",IF(MIN(AX4,AP4,AF4,V4,L4)&gt;=0.5,"PF","SRA"))</f>
        <v>FF</v>
      </c>
    </row>
    <row r="5" spans="1:56" ht="174" customHeight="1" thickBot="1" x14ac:dyDescent="0.3">
      <c r="A5" s="15">
        <v>2</v>
      </c>
      <c r="B5" s="12" t="s">
        <v>50</v>
      </c>
      <c r="C5" s="6" t="s">
        <v>51</v>
      </c>
      <c r="D5" s="10">
        <v>2013</v>
      </c>
      <c r="E5" s="11" t="s">
        <v>49</v>
      </c>
      <c r="F5" s="9">
        <v>1</v>
      </c>
      <c r="G5" s="6" t="s">
        <v>158</v>
      </c>
      <c r="H5" s="10">
        <v>0.5</v>
      </c>
      <c r="I5" s="6" t="s">
        <v>159</v>
      </c>
      <c r="J5" s="10">
        <v>1</v>
      </c>
      <c r="K5" s="6" t="s">
        <v>160</v>
      </c>
      <c r="L5" s="48">
        <f t="shared" ref="L5:L35" si="3">AVERAGE(F5:K5)</f>
        <v>0.83333333333333337</v>
      </c>
      <c r="M5" s="49" t="str">
        <f t="shared" ref="M5:M35" si="4">IF(SUM(F5:K5)=3,"FULL",IF(SUM(F5:K5)=0,"NO","PARTIAL"))</f>
        <v>PARTIAL</v>
      </c>
      <c r="N5" s="9">
        <v>0.5</v>
      </c>
      <c r="O5" s="6" t="s">
        <v>161</v>
      </c>
      <c r="P5" s="10">
        <v>0.5</v>
      </c>
      <c r="Q5" s="6" t="s">
        <v>162</v>
      </c>
      <c r="R5" s="10">
        <v>1</v>
      </c>
      <c r="S5" s="6" t="s">
        <v>163</v>
      </c>
      <c r="T5" s="10">
        <v>0.5</v>
      </c>
      <c r="U5" s="6" t="s">
        <v>164</v>
      </c>
      <c r="V5" s="48">
        <f t="shared" ref="V5:V35" si="5">AVERAGE(N5:T5)</f>
        <v>0.625</v>
      </c>
      <c r="W5" s="50" t="str">
        <f t="shared" ref="W5:W35" si="6">IF(SUM(N5:T5)=4,"FULL",IF(SUM(N5:T5)=0,"NO","PARTIAL"))</f>
        <v>PARTIAL</v>
      </c>
      <c r="X5" s="12" t="s">
        <v>165</v>
      </c>
      <c r="Y5" s="10">
        <v>0.5</v>
      </c>
      <c r="Z5" s="6" t="s">
        <v>166</v>
      </c>
      <c r="AA5" s="10">
        <v>0</v>
      </c>
      <c r="AB5" s="6" t="s">
        <v>167</v>
      </c>
      <c r="AC5" s="10">
        <v>0.5</v>
      </c>
      <c r="AD5" s="6" t="s">
        <v>168</v>
      </c>
      <c r="AE5" s="10">
        <v>0.5</v>
      </c>
      <c r="AF5" s="48">
        <f t="shared" ref="AF5:AF17" si="7">AVERAGE(Y5, AA5,AC5, AE5)</f>
        <v>0.375</v>
      </c>
      <c r="AG5" s="50" t="str">
        <f t="shared" ref="AG5:AG35" si="8">IF(SUM(X5:AE5)=4,"FULL",IF(SUM(X5:AE5)=0,"NO","PARTIAL"))</f>
        <v>PARTIAL</v>
      </c>
      <c r="AH5" s="6" t="s">
        <v>169</v>
      </c>
      <c r="AI5" s="10">
        <v>0</v>
      </c>
      <c r="AJ5" s="6" t="s">
        <v>170</v>
      </c>
      <c r="AK5" s="10">
        <v>1</v>
      </c>
      <c r="AL5" s="6" t="s">
        <v>335</v>
      </c>
      <c r="AM5" s="10">
        <v>0</v>
      </c>
      <c r="AN5" s="6" t="s">
        <v>171</v>
      </c>
      <c r="AO5" s="10">
        <v>1</v>
      </c>
      <c r="AP5" s="48">
        <f t="shared" ref="AP5:AP35" si="9">AVERAGE(AI5,AK5,AM5,AO5)</f>
        <v>0.5</v>
      </c>
      <c r="AQ5" s="51" t="str">
        <f t="shared" ref="AQ5:AQ35" si="10">IF(SUM(AH5:AO5)=4,"FULL",IF(SUM(AH5:AO5)=0,"NO","PARTIAL"))</f>
        <v>PARTIAL</v>
      </c>
      <c r="AR5" s="12" t="s">
        <v>172</v>
      </c>
      <c r="AS5" s="10">
        <v>0</v>
      </c>
      <c r="AT5" s="6" t="s">
        <v>173</v>
      </c>
      <c r="AU5" s="10">
        <v>0.5</v>
      </c>
      <c r="AV5" s="6" t="s">
        <v>174</v>
      </c>
      <c r="AW5" s="10">
        <v>0.5</v>
      </c>
      <c r="AX5" s="52">
        <f t="shared" ref="AX5:AX35" si="11">AVERAGE(AS5,AU5,AW5)</f>
        <v>0.33333333333333331</v>
      </c>
      <c r="AY5" s="53" t="str">
        <f t="shared" ref="AY5:AY35" si="12">IF(SUM(AR5:AW5)=3,"FULL",IF(SUM(AR5:AW5)=0,"NO","PARTIAL"))</f>
        <v>PARTIAL</v>
      </c>
      <c r="AZ5" s="26"/>
      <c r="BA5" s="80">
        <f t="shared" si="0"/>
        <v>0.53333333333333333</v>
      </c>
      <c r="BB5" s="10"/>
      <c r="BC5" s="81">
        <f t="shared" si="1"/>
        <v>0.33333333333333331</v>
      </c>
      <c r="BD5" s="82" t="str">
        <f t="shared" si="2"/>
        <v>SRA</v>
      </c>
    </row>
    <row r="6" spans="1:56" s="8" customFormat="1" ht="132.6" thickBot="1" x14ac:dyDescent="0.3">
      <c r="A6" s="15">
        <v>3</v>
      </c>
      <c r="B6" s="20" t="s">
        <v>52</v>
      </c>
      <c r="C6" s="7" t="s">
        <v>53</v>
      </c>
      <c r="D6" s="38">
        <v>2013</v>
      </c>
      <c r="E6" s="54" t="s">
        <v>54</v>
      </c>
      <c r="F6" s="55">
        <v>1</v>
      </c>
      <c r="G6" s="7" t="s">
        <v>175</v>
      </c>
      <c r="H6" s="38">
        <v>1</v>
      </c>
      <c r="I6" s="7" t="s">
        <v>176</v>
      </c>
      <c r="J6" s="38">
        <v>1</v>
      </c>
      <c r="K6" s="7" t="s">
        <v>177</v>
      </c>
      <c r="L6" s="56">
        <f t="shared" si="3"/>
        <v>1</v>
      </c>
      <c r="M6" s="49" t="str">
        <f t="shared" si="4"/>
        <v>FULL</v>
      </c>
      <c r="N6" s="55">
        <v>1</v>
      </c>
      <c r="O6" s="7" t="s">
        <v>178</v>
      </c>
      <c r="P6" s="38">
        <v>1</v>
      </c>
      <c r="Q6" s="7" t="s">
        <v>179</v>
      </c>
      <c r="R6" s="38">
        <v>0.5</v>
      </c>
      <c r="S6" s="7" t="s">
        <v>180</v>
      </c>
      <c r="T6" s="38">
        <v>1</v>
      </c>
      <c r="U6" s="7" t="s">
        <v>181</v>
      </c>
      <c r="V6" s="56">
        <f t="shared" si="5"/>
        <v>0.875</v>
      </c>
      <c r="W6" s="57" t="str">
        <f t="shared" si="6"/>
        <v>PARTIAL</v>
      </c>
      <c r="X6" s="20" t="s">
        <v>182</v>
      </c>
      <c r="Y6" s="38">
        <v>1</v>
      </c>
      <c r="Z6" s="7" t="s">
        <v>183</v>
      </c>
      <c r="AA6" s="38">
        <v>1</v>
      </c>
      <c r="AB6" s="7" t="s">
        <v>184</v>
      </c>
      <c r="AC6" s="38">
        <v>0.5</v>
      </c>
      <c r="AD6" s="7" t="s">
        <v>185</v>
      </c>
      <c r="AE6" s="38">
        <v>0.5</v>
      </c>
      <c r="AF6" s="48">
        <f t="shared" si="7"/>
        <v>0.75</v>
      </c>
      <c r="AG6" s="50" t="str">
        <f t="shared" si="8"/>
        <v>PARTIAL</v>
      </c>
      <c r="AH6" s="7" t="s">
        <v>186</v>
      </c>
      <c r="AI6" s="38">
        <v>1</v>
      </c>
      <c r="AJ6" s="7" t="s">
        <v>187</v>
      </c>
      <c r="AK6" s="38">
        <v>1</v>
      </c>
      <c r="AL6" s="7" t="s">
        <v>188</v>
      </c>
      <c r="AM6" s="38">
        <v>0.5</v>
      </c>
      <c r="AN6" s="7" t="s">
        <v>189</v>
      </c>
      <c r="AO6" s="38">
        <v>0.5</v>
      </c>
      <c r="AP6" s="48">
        <f t="shared" si="9"/>
        <v>0.75</v>
      </c>
      <c r="AQ6" s="51" t="str">
        <f t="shared" si="10"/>
        <v>PARTIAL</v>
      </c>
      <c r="AR6" s="20" t="s">
        <v>190</v>
      </c>
      <c r="AS6" s="38">
        <v>1</v>
      </c>
      <c r="AT6" s="7" t="s">
        <v>191</v>
      </c>
      <c r="AU6" s="38">
        <v>1</v>
      </c>
      <c r="AV6" s="7" t="s">
        <v>192</v>
      </c>
      <c r="AW6" s="38">
        <v>1</v>
      </c>
      <c r="AX6" s="52">
        <f t="shared" si="11"/>
        <v>1</v>
      </c>
      <c r="AY6" s="53" t="str">
        <f t="shared" si="12"/>
        <v>FULL</v>
      </c>
      <c r="AZ6" s="27"/>
      <c r="BA6" s="80">
        <f>AVERAGE(AX6,AP6,AF6,V6,L6)</f>
        <v>0.875</v>
      </c>
      <c r="BB6" s="10"/>
      <c r="BC6" s="81">
        <f>MIN(AX6,AP6,AF6,V6,L6)</f>
        <v>0.75</v>
      </c>
      <c r="BD6" s="82" t="str">
        <f>IF(MIN(AX6,AP6,AF6,V6,L6)&gt;=0.75,"FF",IF(MIN(AX6,AP6,AF6,V6,L6)&gt;=0.5,"PF","SRA"))</f>
        <v>FF</v>
      </c>
    </row>
    <row r="7" spans="1:56" s="10" customFormat="1" ht="172.2" thickBot="1" x14ac:dyDescent="0.3">
      <c r="A7" s="15">
        <v>4</v>
      </c>
      <c r="B7" s="20" t="s">
        <v>55</v>
      </c>
      <c r="C7" s="7" t="s">
        <v>56</v>
      </c>
      <c r="D7" s="38">
        <v>2019</v>
      </c>
      <c r="E7" s="54" t="s">
        <v>49</v>
      </c>
      <c r="F7" s="55">
        <v>1</v>
      </c>
      <c r="G7" s="7" t="s">
        <v>193</v>
      </c>
      <c r="H7" s="38">
        <v>0.5</v>
      </c>
      <c r="I7" s="7" t="s">
        <v>194</v>
      </c>
      <c r="J7" s="38">
        <v>1</v>
      </c>
      <c r="K7" s="7" t="s">
        <v>195</v>
      </c>
      <c r="L7" s="56">
        <f t="shared" si="3"/>
        <v>0.83333333333333337</v>
      </c>
      <c r="M7" s="49" t="str">
        <f t="shared" si="4"/>
        <v>PARTIAL</v>
      </c>
      <c r="N7" s="55">
        <v>1</v>
      </c>
      <c r="O7" s="7" t="s">
        <v>196</v>
      </c>
      <c r="P7" s="38">
        <v>0.5</v>
      </c>
      <c r="Q7" s="7" t="s">
        <v>197</v>
      </c>
      <c r="R7" s="38">
        <v>1</v>
      </c>
      <c r="S7" s="7" t="s">
        <v>198</v>
      </c>
      <c r="T7" s="38">
        <v>1</v>
      </c>
      <c r="U7" s="7" t="s">
        <v>199</v>
      </c>
      <c r="V7" s="56">
        <f t="shared" si="5"/>
        <v>0.875</v>
      </c>
      <c r="W7" s="57" t="str">
        <f t="shared" si="6"/>
        <v>PARTIAL</v>
      </c>
      <c r="X7" s="20" t="s">
        <v>200</v>
      </c>
      <c r="Y7" s="38">
        <v>1</v>
      </c>
      <c r="Z7" s="7" t="s">
        <v>201</v>
      </c>
      <c r="AA7" s="38">
        <v>0.5</v>
      </c>
      <c r="AB7" s="7" t="s">
        <v>202</v>
      </c>
      <c r="AC7" s="38">
        <v>1</v>
      </c>
      <c r="AD7" s="7" t="s">
        <v>203</v>
      </c>
      <c r="AE7" s="38">
        <v>0.5</v>
      </c>
      <c r="AF7" s="48">
        <f t="shared" si="7"/>
        <v>0.75</v>
      </c>
      <c r="AG7" s="50" t="str">
        <f t="shared" si="8"/>
        <v>PARTIAL</v>
      </c>
      <c r="AH7" s="7" t="s">
        <v>204</v>
      </c>
      <c r="AI7" s="38">
        <v>1</v>
      </c>
      <c r="AJ7" s="7" t="s">
        <v>336</v>
      </c>
      <c r="AK7" s="38">
        <v>0.5</v>
      </c>
      <c r="AL7" s="7" t="s">
        <v>205</v>
      </c>
      <c r="AM7" s="38">
        <v>0.5</v>
      </c>
      <c r="AN7" s="7" t="s">
        <v>206</v>
      </c>
      <c r="AO7" s="38">
        <v>1</v>
      </c>
      <c r="AP7" s="48">
        <f t="shared" si="9"/>
        <v>0.75</v>
      </c>
      <c r="AQ7" s="51" t="str">
        <f t="shared" si="10"/>
        <v>PARTIAL</v>
      </c>
      <c r="AR7" s="20" t="s">
        <v>207</v>
      </c>
      <c r="AS7" s="38">
        <v>0.5</v>
      </c>
      <c r="AT7" s="7" t="s">
        <v>208</v>
      </c>
      <c r="AU7" s="38">
        <v>0.5</v>
      </c>
      <c r="AV7" s="7" t="s">
        <v>209</v>
      </c>
      <c r="AW7" s="38">
        <v>0.5</v>
      </c>
      <c r="AX7" s="52">
        <f t="shared" si="11"/>
        <v>0.5</v>
      </c>
      <c r="AY7" s="53" t="str">
        <f t="shared" si="12"/>
        <v>PARTIAL</v>
      </c>
      <c r="AZ7" s="27"/>
      <c r="BA7" s="80">
        <f>AVERAGE(AX7,AP7,AF7,V7,L7)</f>
        <v>0.7416666666666667</v>
      </c>
      <c r="BC7" s="81">
        <f t="shared" ref="BC7:BC35" si="13">MIN(AX7,AP7,AF7,V7,L7)</f>
        <v>0.5</v>
      </c>
      <c r="BD7" s="82" t="str">
        <f t="shared" ref="BD7:BD35" si="14">IF(MIN(AX7,AP7,AF7,V7,L7)&gt;=0.75,"FF",IF(MIN(AX7,AP7,AF7,V7,L7)&gt;=0.5,"PF","SRA"))</f>
        <v>PF</v>
      </c>
    </row>
    <row r="8" spans="1:56" ht="172.2" thickBot="1" x14ac:dyDescent="0.3">
      <c r="A8" s="15">
        <v>5</v>
      </c>
      <c r="B8" s="20" t="s">
        <v>57</v>
      </c>
      <c r="C8" s="7" t="s">
        <v>58</v>
      </c>
      <c r="D8" s="38">
        <v>2021</v>
      </c>
      <c r="E8" s="54" t="s">
        <v>54</v>
      </c>
      <c r="F8" s="55">
        <v>1</v>
      </c>
      <c r="G8" s="7" t="s">
        <v>210</v>
      </c>
      <c r="H8" s="38">
        <v>1</v>
      </c>
      <c r="I8" s="7" t="s">
        <v>211</v>
      </c>
      <c r="J8" s="38">
        <v>1</v>
      </c>
      <c r="K8" s="7" t="s">
        <v>212</v>
      </c>
      <c r="L8" s="56">
        <f t="shared" si="3"/>
        <v>1</v>
      </c>
      <c r="M8" s="49" t="str">
        <f t="shared" si="4"/>
        <v>FULL</v>
      </c>
      <c r="N8" s="55">
        <v>1</v>
      </c>
      <c r="O8" s="7" t="s">
        <v>213</v>
      </c>
      <c r="P8" s="38">
        <v>1</v>
      </c>
      <c r="Q8" s="7" t="s">
        <v>214</v>
      </c>
      <c r="R8" s="38">
        <v>0.5</v>
      </c>
      <c r="S8" s="7" t="s">
        <v>215</v>
      </c>
      <c r="T8" s="38">
        <v>0.5</v>
      </c>
      <c r="U8" s="7" t="s">
        <v>216</v>
      </c>
      <c r="V8" s="56">
        <f t="shared" si="5"/>
        <v>0.75</v>
      </c>
      <c r="W8" s="57" t="str">
        <f t="shared" si="6"/>
        <v>PARTIAL</v>
      </c>
      <c r="X8" s="20" t="s">
        <v>217</v>
      </c>
      <c r="Y8" s="38">
        <v>1</v>
      </c>
      <c r="Z8" s="7" t="s">
        <v>645</v>
      </c>
      <c r="AA8" s="38">
        <v>1</v>
      </c>
      <c r="AB8" s="7" t="s">
        <v>644</v>
      </c>
      <c r="AC8" s="38">
        <v>1</v>
      </c>
      <c r="AD8" s="7" t="s">
        <v>643</v>
      </c>
      <c r="AE8" s="38">
        <v>1</v>
      </c>
      <c r="AF8" s="48">
        <f t="shared" si="7"/>
        <v>1</v>
      </c>
      <c r="AG8" s="50" t="str">
        <f t="shared" si="8"/>
        <v>FULL</v>
      </c>
      <c r="AH8" s="7" t="s">
        <v>218</v>
      </c>
      <c r="AI8" s="38">
        <v>1</v>
      </c>
      <c r="AJ8" s="7" t="s">
        <v>219</v>
      </c>
      <c r="AK8" s="38">
        <v>1</v>
      </c>
      <c r="AL8" s="7" t="s">
        <v>220</v>
      </c>
      <c r="AM8" s="38">
        <v>1</v>
      </c>
      <c r="AN8" s="7" t="s">
        <v>221</v>
      </c>
      <c r="AO8" s="38">
        <v>1</v>
      </c>
      <c r="AP8" s="48">
        <f t="shared" si="9"/>
        <v>1</v>
      </c>
      <c r="AQ8" s="51" t="str">
        <f t="shared" si="10"/>
        <v>FULL</v>
      </c>
      <c r="AR8" s="20" t="s">
        <v>715</v>
      </c>
      <c r="AS8" s="38">
        <v>1</v>
      </c>
      <c r="AT8" s="7" t="s">
        <v>222</v>
      </c>
      <c r="AU8" s="38">
        <v>1</v>
      </c>
      <c r="AV8" s="7" t="s">
        <v>223</v>
      </c>
      <c r="AW8" s="38">
        <v>1</v>
      </c>
      <c r="AX8" s="52">
        <f t="shared" si="11"/>
        <v>1</v>
      </c>
      <c r="AY8" s="53" t="str">
        <f t="shared" si="12"/>
        <v>FULL</v>
      </c>
      <c r="AZ8" s="27"/>
      <c r="BA8" s="80">
        <f>AVERAGE(AX8,AP8,AF8,V8,L8)</f>
        <v>0.95</v>
      </c>
      <c r="BC8" s="81">
        <f t="shared" si="13"/>
        <v>0.75</v>
      </c>
      <c r="BD8" s="82" t="str">
        <f t="shared" si="14"/>
        <v>FF</v>
      </c>
    </row>
    <row r="9" spans="1:56" ht="132.6" thickBot="1" x14ac:dyDescent="0.3">
      <c r="A9" s="15">
        <v>6</v>
      </c>
      <c r="B9" s="20" t="s">
        <v>57</v>
      </c>
      <c r="C9" s="7" t="s">
        <v>59</v>
      </c>
      <c r="D9" s="38">
        <v>2021</v>
      </c>
      <c r="E9" s="54" t="s">
        <v>49</v>
      </c>
      <c r="F9" s="58">
        <v>1</v>
      </c>
      <c r="G9" s="59" t="s">
        <v>651</v>
      </c>
      <c r="H9" s="59">
        <v>1</v>
      </c>
      <c r="I9" s="59" t="s">
        <v>650</v>
      </c>
      <c r="J9" s="59">
        <v>1</v>
      </c>
      <c r="K9" s="59" t="s">
        <v>649</v>
      </c>
      <c r="L9" s="56">
        <f t="shared" si="3"/>
        <v>1</v>
      </c>
      <c r="M9" s="49" t="str">
        <f t="shared" si="4"/>
        <v>FULL</v>
      </c>
      <c r="N9" s="58">
        <v>1</v>
      </c>
      <c r="O9" s="59" t="s">
        <v>646</v>
      </c>
      <c r="P9" s="59">
        <v>0.5</v>
      </c>
      <c r="Q9" s="59" t="s">
        <v>647</v>
      </c>
      <c r="R9" s="59">
        <v>1</v>
      </c>
      <c r="S9" s="59" t="s">
        <v>648</v>
      </c>
      <c r="T9" s="59">
        <v>1</v>
      </c>
      <c r="U9" s="59" t="s">
        <v>652</v>
      </c>
      <c r="V9" s="56">
        <f t="shared" si="5"/>
        <v>0.875</v>
      </c>
      <c r="W9" s="57" t="str">
        <f t="shared" si="6"/>
        <v>PARTIAL</v>
      </c>
      <c r="X9" s="58" t="s">
        <v>653</v>
      </c>
      <c r="Y9" s="59">
        <v>1</v>
      </c>
      <c r="Z9" s="59" t="s">
        <v>655</v>
      </c>
      <c r="AA9" s="59">
        <v>1</v>
      </c>
      <c r="AB9" s="59" t="s">
        <v>654</v>
      </c>
      <c r="AC9" s="59">
        <v>0.5</v>
      </c>
      <c r="AD9" s="59" t="s">
        <v>656</v>
      </c>
      <c r="AE9" s="59">
        <v>0.5</v>
      </c>
      <c r="AF9" s="48">
        <f t="shared" si="7"/>
        <v>0.75</v>
      </c>
      <c r="AG9" s="50" t="str">
        <f t="shared" si="8"/>
        <v>PARTIAL</v>
      </c>
      <c r="AH9" s="59" t="s">
        <v>657</v>
      </c>
      <c r="AI9" s="59">
        <v>1</v>
      </c>
      <c r="AJ9" s="90" t="s">
        <v>710</v>
      </c>
      <c r="AK9" s="90">
        <v>1</v>
      </c>
      <c r="AL9" s="90" t="s">
        <v>711</v>
      </c>
      <c r="AM9" s="90">
        <v>0.5</v>
      </c>
      <c r="AN9" s="90" t="s">
        <v>709</v>
      </c>
      <c r="AO9" s="90">
        <v>1</v>
      </c>
      <c r="AP9" s="48">
        <f t="shared" si="9"/>
        <v>0.875</v>
      </c>
      <c r="AQ9" s="51" t="str">
        <f t="shared" si="10"/>
        <v>PARTIAL</v>
      </c>
      <c r="AR9" s="91" t="s">
        <v>712</v>
      </c>
      <c r="AS9" s="90">
        <v>0.5</v>
      </c>
      <c r="AT9" s="90" t="s">
        <v>713</v>
      </c>
      <c r="AU9" s="90">
        <v>1</v>
      </c>
      <c r="AV9" s="90" t="s">
        <v>714</v>
      </c>
      <c r="AW9" s="84">
        <v>0.5</v>
      </c>
      <c r="AX9" s="52">
        <f t="shared" si="11"/>
        <v>0.66666666666666663</v>
      </c>
      <c r="AY9" s="53" t="str">
        <f t="shared" si="12"/>
        <v>PARTIAL</v>
      </c>
      <c r="AZ9" s="27"/>
      <c r="BA9" s="80">
        <f>AVERAGE(AX9,AP9,AF9,V9,L9)</f>
        <v>0.83333333333333326</v>
      </c>
      <c r="BC9" s="81">
        <f t="shared" si="13"/>
        <v>0.66666666666666663</v>
      </c>
      <c r="BD9" s="82" t="str">
        <f t="shared" si="14"/>
        <v>PF</v>
      </c>
    </row>
    <row r="10" spans="1:56" ht="119.4" thickBot="1" x14ac:dyDescent="0.3">
      <c r="A10" s="15">
        <v>7</v>
      </c>
      <c r="B10" s="20" t="s">
        <v>60</v>
      </c>
      <c r="C10" s="7" t="s">
        <v>61</v>
      </c>
      <c r="D10" s="38">
        <v>2022</v>
      </c>
      <c r="E10" s="54" t="s">
        <v>54</v>
      </c>
      <c r="F10" s="58">
        <v>1</v>
      </c>
      <c r="G10" s="59" t="s">
        <v>224</v>
      </c>
      <c r="H10" s="59">
        <v>1</v>
      </c>
      <c r="I10" s="59" t="s">
        <v>225</v>
      </c>
      <c r="J10" s="59">
        <v>1</v>
      </c>
      <c r="K10" s="59" t="s">
        <v>226</v>
      </c>
      <c r="L10" s="56">
        <f t="shared" si="3"/>
        <v>1</v>
      </c>
      <c r="M10" s="49" t="str">
        <f t="shared" si="4"/>
        <v>FULL</v>
      </c>
      <c r="N10" s="58">
        <v>1</v>
      </c>
      <c r="O10" s="59" t="s">
        <v>227</v>
      </c>
      <c r="P10" s="59">
        <v>1</v>
      </c>
      <c r="Q10" s="59" t="s">
        <v>228</v>
      </c>
      <c r="R10" s="59">
        <v>0.5</v>
      </c>
      <c r="S10" s="59" t="s">
        <v>229</v>
      </c>
      <c r="T10" s="59">
        <v>0.5</v>
      </c>
      <c r="U10" s="59" t="s">
        <v>230</v>
      </c>
      <c r="V10" s="56">
        <f t="shared" si="5"/>
        <v>0.75</v>
      </c>
      <c r="W10" s="57" t="str">
        <f t="shared" si="6"/>
        <v>PARTIAL</v>
      </c>
      <c r="X10" s="58" t="s">
        <v>231</v>
      </c>
      <c r="Y10" s="59">
        <v>1</v>
      </c>
      <c r="Z10" s="59" t="s">
        <v>232</v>
      </c>
      <c r="AA10" s="59">
        <v>0.5</v>
      </c>
      <c r="AB10" s="59" t="s">
        <v>233</v>
      </c>
      <c r="AC10" s="59">
        <v>0.5</v>
      </c>
      <c r="AD10" s="59" t="s">
        <v>234</v>
      </c>
      <c r="AE10" s="59">
        <v>0.5</v>
      </c>
      <c r="AF10" s="48">
        <f t="shared" si="7"/>
        <v>0.625</v>
      </c>
      <c r="AG10" s="50" t="str">
        <f t="shared" si="8"/>
        <v>PARTIAL</v>
      </c>
      <c r="AH10" s="59" t="s">
        <v>235</v>
      </c>
      <c r="AI10" s="59">
        <v>0.5</v>
      </c>
      <c r="AJ10" s="59" t="s">
        <v>337</v>
      </c>
      <c r="AK10" s="59">
        <v>1</v>
      </c>
      <c r="AL10" s="59" t="s">
        <v>236</v>
      </c>
      <c r="AM10" s="59">
        <v>0.5</v>
      </c>
      <c r="AN10" s="59" t="s">
        <v>237</v>
      </c>
      <c r="AO10" s="59">
        <v>1</v>
      </c>
      <c r="AP10" s="48">
        <f t="shared" si="9"/>
        <v>0.75</v>
      </c>
      <c r="AQ10" s="51" t="str">
        <f t="shared" si="10"/>
        <v>PARTIAL</v>
      </c>
      <c r="AR10" s="58" t="s">
        <v>238</v>
      </c>
      <c r="AS10" s="59">
        <v>1</v>
      </c>
      <c r="AT10" s="59" t="s">
        <v>239</v>
      </c>
      <c r="AU10" s="59">
        <v>1</v>
      </c>
      <c r="AV10" s="59" t="s">
        <v>240</v>
      </c>
      <c r="AW10" s="38">
        <v>0.5</v>
      </c>
      <c r="AX10" s="52">
        <f t="shared" si="11"/>
        <v>0.83333333333333337</v>
      </c>
      <c r="AY10" s="53" t="str">
        <f t="shared" si="12"/>
        <v>PARTIAL</v>
      </c>
      <c r="AZ10" s="27"/>
      <c r="BA10" s="80">
        <f>AVERAGE(AX10,AP10,AF10,V10,L10)</f>
        <v>0.79166666666666674</v>
      </c>
      <c r="BC10" s="81">
        <f t="shared" si="13"/>
        <v>0.625</v>
      </c>
      <c r="BD10" s="82" t="str">
        <f t="shared" si="14"/>
        <v>PF</v>
      </c>
    </row>
    <row r="11" spans="1:56" ht="119.4" thickBot="1" x14ac:dyDescent="0.3">
      <c r="A11" s="15">
        <v>8</v>
      </c>
      <c r="B11" s="20" t="s">
        <v>62</v>
      </c>
      <c r="C11" s="7" t="s">
        <v>63</v>
      </c>
      <c r="D11" s="38">
        <v>2022</v>
      </c>
      <c r="E11" s="54" t="s">
        <v>64</v>
      </c>
      <c r="F11" s="58">
        <v>1</v>
      </c>
      <c r="G11" s="59" t="s">
        <v>241</v>
      </c>
      <c r="H11" s="59">
        <v>0.5</v>
      </c>
      <c r="I11" s="59" t="s">
        <v>242</v>
      </c>
      <c r="J11" s="59">
        <v>1</v>
      </c>
      <c r="K11" s="59" t="s">
        <v>243</v>
      </c>
      <c r="L11" s="56">
        <f t="shared" si="3"/>
        <v>0.83333333333333337</v>
      </c>
      <c r="M11" s="49" t="str">
        <f t="shared" si="4"/>
        <v>PARTIAL</v>
      </c>
      <c r="N11" s="58">
        <v>1</v>
      </c>
      <c r="O11" s="59" t="s">
        <v>244</v>
      </c>
      <c r="P11" s="59">
        <v>0.5</v>
      </c>
      <c r="Q11" s="59" t="s">
        <v>345</v>
      </c>
      <c r="R11" s="59">
        <v>1</v>
      </c>
      <c r="S11" s="59" t="s">
        <v>245</v>
      </c>
      <c r="T11" s="59">
        <v>1</v>
      </c>
      <c r="U11" s="59" t="s">
        <v>342</v>
      </c>
      <c r="V11" s="56">
        <f t="shared" si="5"/>
        <v>0.875</v>
      </c>
      <c r="W11" s="57" t="str">
        <f t="shared" si="6"/>
        <v>PARTIAL</v>
      </c>
      <c r="X11" s="58" t="s">
        <v>246</v>
      </c>
      <c r="Y11" s="59">
        <v>0.5</v>
      </c>
      <c r="Z11" s="59" t="s">
        <v>247</v>
      </c>
      <c r="AA11" s="59">
        <v>0.5</v>
      </c>
      <c r="AB11" s="59" t="s">
        <v>248</v>
      </c>
      <c r="AC11" s="59">
        <v>0</v>
      </c>
      <c r="AD11" s="59" t="s">
        <v>249</v>
      </c>
      <c r="AE11" s="59">
        <v>0.5</v>
      </c>
      <c r="AF11" s="48">
        <f t="shared" si="7"/>
        <v>0.375</v>
      </c>
      <c r="AG11" s="50" t="str">
        <f t="shared" si="8"/>
        <v>PARTIAL</v>
      </c>
      <c r="AH11" s="59" t="s">
        <v>250</v>
      </c>
      <c r="AI11" s="59">
        <v>1</v>
      </c>
      <c r="AJ11" s="59" t="s">
        <v>346</v>
      </c>
      <c r="AK11" s="59">
        <v>0.5</v>
      </c>
      <c r="AL11" s="59" t="s">
        <v>251</v>
      </c>
      <c r="AM11" s="59">
        <v>0</v>
      </c>
      <c r="AN11" s="59" t="s">
        <v>252</v>
      </c>
      <c r="AO11" s="59">
        <v>0.5</v>
      </c>
      <c r="AP11" s="48">
        <f t="shared" si="9"/>
        <v>0.5</v>
      </c>
      <c r="AQ11" s="51" t="str">
        <f t="shared" si="10"/>
        <v>PARTIAL</v>
      </c>
      <c r="AR11" s="58" t="s">
        <v>253</v>
      </c>
      <c r="AS11" s="59">
        <v>0.5</v>
      </c>
      <c r="AT11" s="59" t="s">
        <v>254</v>
      </c>
      <c r="AU11" s="59">
        <v>1</v>
      </c>
      <c r="AV11" s="59" t="s">
        <v>255</v>
      </c>
      <c r="AW11" s="38">
        <v>0</v>
      </c>
      <c r="AX11" s="52">
        <f t="shared" si="11"/>
        <v>0.5</v>
      </c>
      <c r="AY11" s="53" t="str">
        <f t="shared" si="12"/>
        <v>PARTIAL</v>
      </c>
      <c r="AZ11" s="27"/>
      <c r="BA11" s="80">
        <f t="shared" ref="BA11:BA27" si="15">AVERAGE(AX11,AP11,AF11,V11,L11)</f>
        <v>0.6166666666666667</v>
      </c>
      <c r="BC11" s="81">
        <f t="shared" si="13"/>
        <v>0.375</v>
      </c>
      <c r="BD11" s="82" t="str">
        <f t="shared" si="14"/>
        <v>SRA</v>
      </c>
    </row>
    <row r="12" spans="1:56" ht="119.4" thickBot="1" x14ac:dyDescent="0.3">
      <c r="A12" s="15">
        <v>9</v>
      </c>
      <c r="B12" s="20" t="s">
        <v>65</v>
      </c>
      <c r="C12" s="7" t="s">
        <v>66</v>
      </c>
      <c r="D12" s="38">
        <v>2022</v>
      </c>
      <c r="E12" s="54" t="s">
        <v>54</v>
      </c>
      <c r="F12" s="58">
        <v>1</v>
      </c>
      <c r="G12" s="59" t="s">
        <v>256</v>
      </c>
      <c r="H12" s="59">
        <v>0.5</v>
      </c>
      <c r="I12" s="59" t="s">
        <v>257</v>
      </c>
      <c r="J12" s="59">
        <v>1</v>
      </c>
      <c r="K12" s="59" t="s">
        <v>258</v>
      </c>
      <c r="L12" s="56">
        <f t="shared" si="3"/>
        <v>0.83333333333333337</v>
      </c>
      <c r="M12" s="49" t="str">
        <f t="shared" si="4"/>
        <v>PARTIAL</v>
      </c>
      <c r="N12" s="58">
        <v>1</v>
      </c>
      <c r="O12" s="59" t="s">
        <v>259</v>
      </c>
      <c r="P12" s="59">
        <v>1</v>
      </c>
      <c r="Q12" s="59" t="s">
        <v>260</v>
      </c>
      <c r="R12" s="59">
        <v>1</v>
      </c>
      <c r="S12" s="59" t="s">
        <v>261</v>
      </c>
      <c r="T12" s="59">
        <v>1</v>
      </c>
      <c r="U12" s="59" t="s">
        <v>262</v>
      </c>
      <c r="V12" s="56">
        <f t="shared" si="5"/>
        <v>1</v>
      </c>
      <c r="W12" s="57" t="str">
        <f t="shared" si="6"/>
        <v>FULL</v>
      </c>
      <c r="X12" s="58" t="s">
        <v>263</v>
      </c>
      <c r="Y12" s="59">
        <v>1</v>
      </c>
      <c r="Z12" s="59" t="s">
        <v>264</v>
      </c>
      <c r="AA12" s="59">
        <v>1</v>
      </c>
      <c r="AB12" s="59" t="s">
        <v>265</v>
      </c>
      <c r="AC12" s="59">
        <v>1</v>
      </c>
      <c r="AD12" s="59" t="s">
        <v>266</v>
      </c>
      <c r="AE12" s="59">
        <v>1</v>
      </c>
      <c r="AF12" s="48">
        <f t="shared" si="7"/>
        <v>1</v>
      </c>
      <c r="AG12" s="50" t="str">
        <f t="shared" si="8"/>
        <v>FULL</v>
      </c>
      <c r="AH12" s="59" t="s">
        <v>267</v>
      </c>
      <c r="AI12" s="59">
        <v>1</v>
      </c>
      <c r="AJ12" s="59" t="s">
        <v>268</v>
      </c>
      <c r="AK12" s="59">
        <v>1</v>
      </c>
      <c r="AL12" s="59" t="s">
        <v>269</v>
      </c>
      <c r="AM12" s="59">
        <v>0.5</v>
      </c>
      <c r="AN12" s="59" t="s">
        <v>270</v>
      </c>
      <c r="AO12" s="59">
        <v>0.5</v>
      </c>
      <c r="AP12" s="48">
        <f t="shared" si="9"/>
        <v>0.75</v>
      </c>
      <c r="AQ12" s="51" t="str">
        <f t="shared" si="10"/>
        <v>PARTIAL</v>
      </c>
      <c r="AR12" s="58" t="s">
        <v>271</v>
      </c>
      <c r="AS12" s="59">
        <v>1</v>
      </c>
      <c r="AT12" s="18" t="s">
        <v>272</v>
      </c>
      <c r="AU12" s="59">
        <v>1</v>
      </c>
      <c r="AV12" s="59" t="s">
        <v>273</v>
      </c>
      <c r="AW12" s="60">
        <v>0.5</v>
      </c>
      <c r="AX12" s="52">
        <f t="shared" si="11"/>
        <v>0.83333333333333337</v>
      </c>
      <c r="AY12" s="57" t="str">
        <f t="shared" si="12"/>
        <v>PARTIAL</v>
      </c>
      <c r="AZ12" s="27"/>
      <c r="BA12" s="80">
        <f t="shared" si="15"/>
        <v>0.88333333333333341</v>
      </c>
      <c r="BC12" s="81">
        <f t="shared" si="13"/>
        <v>0.75</v>
      </c>
      <c r="BD12" s="82" t="str">
        <f t="shared" si="14"/>
        <v>FF</v>
      </c>
    </row>
    <row r="13" spans="1:56" ht="170.4" customHeight="1" thickBot="1" x14ac:dyDescent="0.3">
      <c r="A13" s="15">
        <v>10</v>
      </c>
      <c r="B13" s="20" t="s">
        <v>67</v>
      </c>
      <c r="C13" s="7" t="s">
        <v>68</v>
      </c>
      <c r="D13" s="38">
        <v>2022</v>
      </c>
      <c r="E13" s="54" t="s">
        <v>49</v>
      </c>
      <c r="F13" s="58">
        <v>1</v>
      </c>
      <c r="G13" s="59" t="s">
        <v>676</v>
      </c>
      <c r="H13" s="59">
        <v>1</v>
      </c>
      <c r="I13" s="59" t="s">
        <v>677</v>
      </c>
      <c r="J13" s="59">
        <v>1</v>
      </c>
      <c r="K13" s="59" t="s">
        <v>678</v>
      </c>
      <c r="L13" s="56">
        <f t="shared" si="3"/>
        <v>1</v>
      </c>
      <c r="M13" s="49" t="str">
        <f t="shared" si="4"/>
        <v>FULL</v>
      </c>
      <c r="N13" s="58">
        <v>1</v>
      </c>
      <c r="O13" s="89" t="s">
        <v>679</v>
      </c>
      <c r="P13" s="59">
        <v>0.5</v>
      </c>
      <c r="Q13" s="18" t="s">
        <v>681</v>
      </c>
      <c r="R13" s="59">
        <v>1</v>
      </c>
      <c r="S13" s="18" t="s">
        <v>680</v>
      </c>
      <c r="T13" s="59">
        <v>1</v>
      </c>
      <c r="U13" s="18" t="s">
        <v>682</v>
      </c>
      <c r="V13" s="56">
        <f t="shared" si="5"/>
        <v>0.875</v>
      </c>
      <c r="W13" s="57" t="str">
        <f t="shared" si="6"/>
        <v>PARTIAL</v>
      </c>
      <c r="X13" s="17" t="s">
        <v>683</v>
      </c>
      <c r="Y13" s="59">
        <v>1</v>
      </c>
      <c r="Z13" s="18" t="s">
        <v>684</v>
      </c>
      <c r="AA13" s="59">
        <v>1</v>
      </c>
      <c r="AB13" s="18" t="s">
        <v>685</v>
      </c>
      <c r="AC13" s="59">
        <v>1</v>
      </c>
      <c r="AD13" s="18" t="s">
        <v>686</v>
      </c>
      <c r="AE13" s="59">
        <v>1</v>
      </c>
      <c r="AF13" s="48">
        <f t="shared" si="7"/>
        <v>1</v>
      </c>
      <c r="AG13" s="50" t="str">
        <f t="shared" si="8"/>
        <v>FULL</v>
      </c>
      <c r="AH13" s="18" t="s">
        <v>688</v>
      </c>
      <c r="AI13" s="59">
        <v>1</v>
      </c>
      <c r="AJ13" s="59" t="s">
        <v>689</v>
      </c>
      <c r="AK13" s="59">
        <v>1</v>
      </c>
      <c r="AL13" s="59" t="s">
        <v>690</v>
      </c>
      <c r="AM13" s="59">
        <v>0.5</v>
      </c>
      <c r="AN13" s="18" t="s">
        <v>687</v>
      </c>
      <c r="AO13" s="59">
        <v>0.5</v>
      </c>
      <c r="AP13" s="48">
        <f t="shared" si="9"/>
        <v>0.75</v>
      </c>
      <c r="AQ13" s="51" t="str">
        <f t="shared" si="10"/>
        <v>PARTIAL</v>
      </c>
      <c r="AR13" s="58" t="s">
        <v>691</v>
      </c>
      <c r="AS13" s="59">
        <v>0.5</v>
      </c>
      <c r="AT13" s="59" t="s">
        <v>692</v>
      </c>
      <c r="AU13" s="59">
        <v>1</v>
      </c>
      <c r="AV13" s="59" t="s">
        <v>693</v>
      </c>
      <c r="AW13" s="60">
        <v>0.5</v>
      </c>
      <c r="AX13" s="52">
        <f t="shared" si="11"/>
        <v>0.66666666666666663</v>
      </c>
      <c r="AY13" s="57" t="str">
        <f t="shared" si="12"/>
        <v>PARTIAL</v>
      </c>
      <c r="AZ13" s="27"/>
      <c r="BA13" s="80">
        <f t="shared" si="15"/>
        <v>0.85833333333333317</v>
      </c>
      <c r="BC13" s="81">
        <f t="shared" si="13"/>
        <v>0.66666666666666663</v>
      </c>
      <c r="BD13" s="82" t="str">
        <f t="shared" si="14"/>
        <v>PF</v>
      </c>
    </row>
    <row r="14" spans="1:56" ht="170.4" customHeight="1" thickBot="1" x14ac:dyDescent="0.3">
      <c r="A14" s="15">
        <v>11</v>
      </c>
      <c r="B14" s="20" t="s">
        <v>69</v>
      </c>
      <c r="C14" s="7" t="s">
        <v>70</v>
      </c>
      <c r="D14" s="38">
        <v>2022</v>
      </c>
      <c r="E14" s="54" t="s">
        <v>49</v>
      </c>
      <c r="F14" s="58">
        <v>1</v>
      </c>
      <c r="G14" s="59" t="s">
        <v>275</v>
      </c>
      <c r="H14" s="59">
        <v>0.5</v>
      </c>
      <c r="I14" s="59" t="s">
        <v>276</v>
      </c>
      <c r="J14" s="59">
        <v>1</v>
      </c>
      <c r="K14" s="59" t="s">
        <v>277</v>
      </c>
      <c r="L14" s="56">
        <f t="shared" si="3"/>
        <v>0.83333333333333337</v>
      </c>
      <c r="M14" s="49" t="str">
        <f t="shared" si="4"/>
        <v>PARTIAL</v>
      </c>
      <c r="N14" s="58">
        <v>1</v>
      </c>
      <c r="O14" s="59" t="s">
        <v>278</v>
      </c>
      <c r="P14" s="59">
        <v>0.5</v>
      </c>
      <c r="Q14" s="59" t="s">
        <v>347</v>
      </c>
      <c r="R14" s="59">
        <v>1</v>
      </c>
      <c r="S14" s="59" t="s">
        <v>279</v>
      </c>
      <c r="T14" s="59">
        <v>1</v>
      </c>
      <c r="U14" s="59" t="s">
        <v>280</v>
      </c>
      <c r="V14" s="56">
        <f t="shared" si="5"/>
        <v>0.875</v>
      </c>
      <c r="W14" s="57" t="str">
        <f t="shared" si="6"/>
        <v>PARTIAL</v>
      </c>
      <c r="X14" s="58" t="s">
        <v>281</v>
      </c>
      <c r="Y14" s="59">
        <v>0.5</v>
      </c>
      <c r="Z14" s="59" t="s">
        <v>282</v>
      </c>
      <c r="AA14" s="59">
        <v>0.5</v>
      </c>
      <c r="AB14" s="59" t="s">
        <v>283</v>
      </c>
      <c r="AC14" s="59">
        <v>0</v>
      </c>
      <c r="AD14" s="59" t="s">
        <v>284</v>
      </c>
      <c r="AE14" s="59">
        <v>0.5</v>
      </c>
      <c r="AF14" s="48">
        <f t="shared" si="7"/>
        <v>0.375</v>
      </c>
      <c r="AG14" s="50" t="str">
        <f t="shared" si="8"/>
        <v>PARTIAL</v>
      </c>
      <c r="AH14" s="59" t="s">
        <v>285</v>
      </c>
      <c r="AI14" s="59">
        <v>0.5</v>
      </c>
      <c r="AJ14" s="59" t="s">
        <v>286</v>
      </c>
      <c r="AK14" s="59">
        <v>1</v>
      </c>
      <c r="AL14" s="59" t="s">
        <v>274</v>
      </c>
      <c r="AM14" s="59">
        <v>0</v>
      </c>
      <c r="AN14" s="59" t="s">
        <v>287</v>
      </c>
      <c r="AO14" s="59">
        <v>0.5</v>
      </c>
      <c r="AP14" s="48">
        <f t="shared" si="9"/>
        <v>0.5</v>
      </c>
      <c r="AQ14" s="51" t="str">
        <f t="shared" si="10"/>
        <v>PARTIAL</v>
      </c>
      <c r="AR14" s="58" t="s">
        <v>288</v>
      </c>
      <c r="AS14" s="59">
        <v>0.5</v>
      </c>
      <c r="AT14" s="59" t="s">
        <v>289</v>
      </c>
      <c r="AU14" s="59">
        <v>0.5</v>
      </c>
      <c r="AV14" s="59" t="s">
        <v>290</v>
      </c>
      <c r="AW14" s="60">
        <v>0.5</v>
      </c>
      <c r="AX14" s="52">
        <f t="shared" si="11"/>
        <v>0.5</v>
      </c>
      <c r="AY14" s="57" t="str">
        <f t="shared" si="12"/>
        <v>PARTIAL</v>
      </c>
      <c r="AZ14" s="27"/>
      <c r="BA14" s="80">
        <f t="shared" si="15"/>
        <v>0.6166666666666667</v>
      </c>
      <c r="BC14" s="81">
        <f t="shared" si="13"/>
        <v>0.375</v>
      </c>
      <c r="BD14" s="82" t="str">
        <f t="shared" si="14"/>
        <v>SRA</v>
      </c>
    </row>
    <row r="15" spans="1:56" ht="119.4" thickBot="1" x14ac:dyDescent="0.3">
      <c r="A15" s="15">
        <v>12</v>
      </c>
      <c r="B15" s="20" t="s">
        <v>71</v>
      </c>
      <c r="C15" s="7" t="s">
        <v>72</v>
      </c>
      <c r="D15" s="38">
        <v>2023</v>
      </c>
      <c r="E15" s="54" t="s">
        <v>49</v>
      </c>
      <c r="F15" s="58">
        <v>1</v>
      </c>
      <c r="G15" s="59" t="s">
        <v>658</v>
      </c>
      <c r="H15" s="59">
        <v>1</v>
      </c>
      <c r="I15" s="59" t="s">
        <v>659</v>
      </c>
      <c r="J15" s="59">
        <v>1</v>
      </c>
      <c r="K15" s="59" t="s">
        <v>660</v>
      </c>
      <c r="L15" s="56">
        <f t="shared" si="3"/>
        <v>1</v>
      </c>
      <c r="M15" s="49" t="str">
        <f t="shared" si="4"/>
        <v>FULL</v>
      </c>
      <c r="N15" s="58">
        <v>1</v>
      </c>
      <c r="O15" s="59" t="s">
        <v>661</v>
      </c>
      <c r="P15" s="59">
        <v>1</v>
      </c>
      <c r="Q15" s="59" t="s">
        <v>662</v>
      </c>
      <c r="R15" s="59">
        <v>1</v>
      </c>
      <c r="S15" s="59" t="s">
        <v>663</v>
      </c>
      <c r="T15" s="59">
        <v>1</v>
      </c>
      <c r="U15" s="59" t="s">
        <v>664</v>
      </c>
      <c r="V15" s="56">
        <f t="shared" si="5"/>
        <v>1</v>
      </c>
      <c r="W15" s="57" t="str">
        <f t="shared" si="6"/>
        <v>FULL</v>
      </c>
      <c r="X15" s="58" t="s">
        <v>665</v>
      </c>
      <c r="Y15" s="59">
        <v>1</v>
      </c>
      <c r="Z15" s="59" t="s">
        <v>666</v>
      </c>
      <c r="AA15" s="59">
        <v>0.5</v>
      </c>
      <c r="AB15" s="59" t="s">
        <v>667</v>
      </c>
      <c r="AC15" s="59">
        <v>1</v>
      </c>
      <c r="AD15" s="59" t="s">
        <v>668</v>
      </c>
      <c r="AE15" s="59">
        <v>1</v>
      </c>
      <c r="AF15" s="48">
        <f t="shared" si="7"/>
        <v>0.875</v>
      </c>
      <c r="AG15" s="50" t="str">
        <f t="shared" si="8"/>
        <v>PARTIAL</v>
      </c>
      <c r="AH15" s="59" t="s">
        <v>669</v>
      </c>
      <c r="AI15" s="59">
        <v>1</v>
      </c>
      <c r="AJ15" s="59" t="s">
        <v>670</v>
      </c>
      <c r="AK15" s="59">
        <v>1</v>
      </c>
      <c r="AL15" s="59" t="s">
        <v>671</v>
      </c>
      <c r="AM15" s="59">
        <v>0.5</v>
      </c>
      <c r="AN15" s="59" t="s">
        <v>672</v>
      </c>
      <c r="AO15" s="59">
        <v>0.5</v>
      </c>
      <c r="AP15" s="48">
        <f t="shared" si="9"/>
        <v>0.75</v>
      </c>
      <c r="AQ15" s="51" t="str">
        <f t="shared" si="10"/>
        <v>PARTIAL</v>
      </c>
      <c r="AR15" s="58" t="s">
        <v>673</v>
      </c>
      <c r="AS15" s="59">
        <v>1</v>
      </c>
      <c r="AT15" s="59" t="s">
        <v>674</v>
      </c>
      <c r="AU15" s="59">
        <v>1</v>
      </c>
      <c r="AV15" s="59" t="s">
        <v>675</v>
      </c>
      <c r="AW15" s="60">
        <v>1</v>
      </c>
      <c r="AX15" s="52">
        <f t="shared" si="11"/>
        <v>1</v>
      </c>
      <c r="AY15" s="57" t="str">
        <f t="shared" si="12"/>
        <v>FULL</v>
      </c>
      <c r="BA15" s="80">
        <f t="shared" si="15"/>
        <v>0.92500000000000004</v>
      </c>
      <c r="BC15" s="81">
        <f t="shared" si="13"/>
        <v>0.75</v>
      </c>
      <c r="BD15" s="82" t="str">
        <f t="shared" si="14"/>
        <v>FF</v>
      </c>
    </row>
    <row r="16" spans="1:56" ht="159" thickBot="1" x14ac:dyDescent="0.3">
      <c r="A16" s="15">
        <v>13</v>
      </c>
      <c r="B16" s="20" t="s">
        <v>73</v>
      </c>
      <c r="C16" s="7" t="s">
        <v>74</v>
      </c>
      <c r="D16" s="38">
        <v>2023</v>
      </c>
      <c r="E16" s="54" t="s">
        <v>49</v>
      </c>
      <c r="F16" s="58">
        <v>1</v>
      </c>
      <c r="G16" s="59" t="s">
        <v>291</v>
      </c>
      <c r="H16" s="59">
        <v>0.5</v>
      </c>
      <c r="I16" s="59" t="s">
        <v>292</v>
      </c>
      <c r="J16" s="59">
        <v>1</v>
      </c>
      <c r="K16" s="59" t="s">
        <v>293</v>
      </c>
      <c r="L16" s="56">
        <f t="shared" si="3"/>
        <v>0.83333333333333337</v>
      </c>
      <c r="M16" s="49" t="str">
        <f t="shared" si="4"/>
        <v>PARTIAL</v>
      </c>
      <c r="N16" s="58">
        <v>1</v>
      </c>
      <c r="O16" s="59" t="s">
        <v>348</v>
      </c>
      <c r="P16" s="59">
        <v>0.5</v>
      </c>
      <c r="Q16" s="59" t="s">
        <v>349</v>
      </c>
      <c r="R16" s="59">
        <v>1</v>
      </c>
      <c r="S16" s="59" t="s">
        <v>350</v>
      </c>
      <c r="T16" s="59">
        <v>1</v>
      </c>
      <c r="U16" s="59" t="s">
        <v>351</v>
      </c>
      <c r="V16" s="56">
        <f t="shared" si="5"/>
        <v>0.875</v>
      </c>
      <c r="W16" s="57" t="str">
        <f t="shared" si="6"/>
        <v>PARTIAL</v>
      </c>
      <c r="X16" s="58" t="s">
        <v>352</v>
      </c>
      <c r="Y16" s="59">
        <v>0.5</v>
      </c>
      <c r="Z16" s="59" t="s">
        <v>353</v>
      </c>
      <c r="AA16" s="59">
        <v>0.5</v>
      </c>
      <c r="AB16" s="59" t="s">
        <v>354</v>
      </c>
      <c r="AC16" s="59">
        <v>0</v>
      </c>
      <c r="AD16" s="59" t="s">
        <v>355</v>
      </c>
      <c r="AE16" s="59">
        <v>0.5</v>
      </c>
      <c r="AF16" s="48">
        <f t="shared" si="7"/>
        <v>0.375</v>
      </c>
      <c r="AG16" s="50" t="str">
        <f t="shared" si="8"/>
        <v>PARTIAL</v>
      </c>
      <c r="AH16" s="59" t="s">
        <v>356</v>
      </c>
      <c r="AI16" s="59">
        <v>1</v>
      </c>
      <c r="AJ16" s="59" t="s">
        <v>357</v>
      </c>
      <c r="AK16" s="59">
        <v>0.5</v>
      </c>
      <c r="AL16" s="59" t="s">
        <v>358</v>
      </c>
      <c r="AM16" s="59">
        <v>0</v>
      </c>
      <c r="AN16" s="59" t="s">
        <v>359</v>
      </c>
      <c r="AO16" s="59">
        <v>0.5</v>
      </c>
      <c r="AP16" s="48">
        <f t="shared" si="9"/>
        <v>0.5</v>
      </c>
      <c r="AQ16" s="51" t="str">
        <f t="shared" si="10"/>
        <v>PARTIAL</v>
      </c>
      <c r="AR16" s="58" t="s">
        <v>360</v>
      </c>
      <c r="AS16" s="59">
        <v>0.5</v>
      </c>
      <c r="AT16" s="59" t="s">
        <v>361</v>
      </c>
      <c r="AU16" s="59">
        <v>1</v>
      </c>
      <c r="AV16" s="59" t="s">
        <v>362</v>
      </c>
      <c r="AW16" s="60">
        <v>0.5</v>
      </c>
      <c r="AX16" s="52">
        <f t="shared" si="11"/>
        <v>0.66666666666666663</v>
      </c>
      <c r="AY16" s="57" t="str">
        <f t="shared" si="12"/>
        <v>PARTIAL</v>
      </c>
      <c r="BA16" s="80">
        <f t="shared" si="15"/>
        <v>0.65</v>
      </c>
      <c r="BC16" s="81">
        <f t="shared" si="13"/>
        <v>0.375</v>
      </c>
      <c r="BD16" s="82" t="str">
        <f t="shared" si="14"/>
        <v>SRA</v>
      </c>
    </row>
    <row r="17" spans="1:56" ht="172.2" thickBot="1" x14ac:dyDescent="0.3">
      <c r="A17" s="15">
        <v>14</v>
      </c>
      <c r="B17" s="20" t="s">
        <v>75</v>
      </c>
      <c r="C17" s="7" t="s">
        <v>76</v>
      </c>
      <c r="D17" s="38">
        <v>2023</v>
      </c>
      <c r="E17" s="54" t="s">
        <v>64</v>
      </c>
      <c r="F17" s="58">
        <v>1</v>
      </c>
      <c r="G17" s="59" t="s">
        <v>294</v>
      </c>
      <c r="H17" s="59">
        <v>0.5</v>
      </c>
      <c r="I17" s="59" t="s">
        <v>295</v>
      </c>
      <c r="J17" s="59">
        <v>1</v>
      </c>
      <c r="K17" s="59" t="s">
        <v>296</v>
      </c>
      <c r="L17" s="56">
        <f t="shared" si="3"/>
        <v>0.83333333333333337</v>
      </c>
      <c r="M17" s="49" t="str">
        <f t="shared" si="4"/>
        <v>PARTIAL</v>
      </c>
      <c r="N17" s="58">
        <v>1</v>
      </c>
      <c r="O17" s="59" t="s">
        <v>363</v>
      </c>
      <c r="P17" s="59">
        <v>1</v>
      </c>
      <c r="Q17" s="59" t="s">
        <v>364</v>
      </c>
      <c r="R17" s="59">
        <v>1</v>
      </c>
      <c r="S17" s="59" t="s">
        <v>365</v>
      </c>
      <c r="T17" s="59">
        <v>1</v>
      </c>
      <c r="U17" s="59" t="s">
        <v>366</v>
      </c>
      <c r="V17" s="56">
        <f t="shared" si="5"/>
        <v>1</v>
      </c>
      <c r="W17" s="57" t="str">
        <f t="shared" si="6"/>
        <v>FULL</v>
      </c>
      <c r="X17" s="58" t="s">
        <v>367</v>
      </c>
      <c r="Y17" s="59">
        <v>1</v>
      </c>
      <c r="Z17" s="59" t="s">
        <v>368</v>
      </c>
      <c r="AA17" s="59">
        <v>1</v>
      </c>
      <c r="AB17" s="59" t="s">
        <v>369</v>
      </c>
      <c r="AC17" s="59">
        <v>1</v>
      </c>
      <c r="AD17" s="59" t="s">
        <v>370</v>
      </c>
      <c r="AE17" s="59">
        <v>1</v>
      </c>
      <c r="AF17" s="48">
        <f t="shared" si="7"/>
        <v>1</v>
      </c>
      <c r="AG17" s="50" t="str">
        <f t="shared" si="8"/>
        <v>FULL</v>
      </c>
      <c r="AH17" s="59" t="s">
        <v>371</v>
      </c>
      <c r="AI17" s="59">
        <v>1</v>
      </c>
      <c r="AJ17" s="59" t="s">
        <v>372</v>
      </c>
      <c r="AK17" s="59">
        <v>1</v>
      </c>
      <c r="AL17" s="59" t="s">
        <v>373</v>
      </c>
      <c r="AM17" s="59">
        <v>0.5</v>
      </c>
      <c r="AN17" s="59" t="s">
        <v>374</v>
      </c>
      <c r="AO17" s="59">
        <v>0.5</v>
      </c>
      <c r="AP17" s="48">
        <f t="shared" si="9"/>
        <v>0.75</v>
      </c>
      <c r="AQ17" s="51" t="str">
        <f t="shared" si="10"/>
        <v>PARTIAL</v>
      </c>
      <c r="AR17" s="58" t="s">
        <v>375</v>
      </c>
      <c r="AS17" s="59">
        <v>1</v>
      </c>
      <c r="AT17" s="59" t="s">
        <v>376</v>
      </c>
      <c r="AU17" s="59">
        <v>1</v>
      </c>
      <c r="AV17" s="59" t="s">
        <v>377</v>
      </c>
      <c r="AW17" s="60">
        <v>0.5</v>
      </c>
      <c r="AX17" s="52">
        <f t="shared" si="11"/>
        <v>0.83333333333333337</v>
      </c>
      <c r="AY17" s="57" t="str">
        <f t="shared" si="12"/>
        <v>PARTIAL</v>
      </c>
      <c r="BA17" s="80">
        <f t="shared" si="15"/>
        <v>0.88333333333333341</v>
      </c>
      <c r="BC17" s="81">
        <f t="shared" si="13"/>
        <v>0.75</v>
      </c>
      <c r="BD17" s="82" t="str">
        <f t="shared" si="14"/>
        <v>FF</v>
      </c>
    </row>
    <row r="18" spans="1:56" ht="180.6" customHeight="1" thickBot="1" x14ac:dyDescent="0.3">
      <c r="A18" s="15">
        <v>15</v>
      </c>
      <c r="B18" s="20" t="s">
        <v>77</v>
      </c>
      <c r="C18" s="7" t="s">
        <v>78</v>
      </c>
      <c r="D18" s="38">
        <v>2023</v>
      </c>
      <c r="E18" s="54" t="s">
        <v>54</v>
      </c>
      <c r="F18" s="58">
        <v>1</v>
      </c>
      <c r="G18" s="59" t="s">
        <v>297</v>
      </c>
      <c r="H18" s="59">
        <v>1</v>
      </c>
      <c r="I18" s="59" t="s">
        <v>298</v>
      </c>
      <c r="J18" s="59">
        <v>1</v>
      </c>
      <c r="K18" s="59" t="s">
        <v>299</v>
      </c>
      <c r="L18" s="56">
        <f t="shared" si="3"/>
        <v>1</v>
      </c>
      <c r="M18" s="49" t="str">
        <f t="shared" si="4"/>
        <v>FULL</v>
      </c>
      <c r="N18" s="58">
        <v>1</v>
      </c>
      <c r="O18" s="59" t="s">
        <v>378</v>
      </c>
      <c r="P18" s="59">
        <v>0.5</v>
      </c>
      <c r="Q18" s="59" t="s">
        <v>379</v>
      </c>
      <c r="R18" s="59">
        <v>1</v>
      </c>
      <c r="S18" s="59" t="s">
        <v>380</v>
      </c>
      <c r="T18" s="59">
        <v>1</v>
      </c>
      <c r="U18" s="59" t="s">
        <v>381</v>
      </c>
      <c r="V18" s="56">
        <f t="shared" si="5"/>
        <v>0.875</v>
      </c>
      <c r="W18" s="57" t="str">
        <f t="shared" si="6"/>
        <v>PARTIAL</v>
      </c>
      <c r="X18" s="58" t="s">
        <v>382</v>
      </c>
      <c r="Y18" s="59">
        <v>1</v>
      </c>
      <c r="Z18" s="59" t="s">
        <v>383</v>
      </c>
      <c r="AA18" s="59">
        <v>1</v>
      </c>
      <c r="AB18" s="59" t="s">
        <v>384</v>
      </c>
      <c r="AC18" s="59">
        <v>1</v>
      </c>
      <c r="AD18" s="59" t="s">
        <v>385</v>
      </c>
      <c r="AE18" s="59">
        <v>1</v>
      </c>
      <c r="AF18" s="48">
        <f>AVERAGE(Y18, AA18,AC18, AE18)</f>
        <v>1</v>
      </c>
      <c r="AG18" s="50" t="str">
        <f t="shared" si="8"/>
        <v>FULL</v>
      </c>
      <c r="AH18" s="59" t="s">
        <v>386</v>
      </c>
      <c r="AI18" s="59">
        <v>1</v>
      </c>
      <c r="AJ18" s="59" t="s">
        <v>387</v>
      </c>
      <c r="AK18" s="59">
        <v>1</v>
      </c>
      <c r="AL18" s="59" t="s">
        <v>388</v>
      </c>
      <c r="AM18" s="59">
        <v>0.5</v>
      </c>
      <c r="AN18" s="59" t="s">
        <v>389</v>
      </c>
      <c r="AO18" s="59">
        <v>0.5</v>
      </c>
      <c r="AP18" s="48">
        <f t="shared" si="9"/>
        <v>0.75</v>
      </c>
      <c r="AQ18" s="51" t="str">
        <f t="shared" si="10"/>
        <v>PARTIAL</v>
      </c>
      <c r="AR18" s="58" t="s">
        <v>390</v>
      </c>
      <c r="AS18" s="59">
        <v>0.5</v>
      </c>
      <c r="AT18" s="59" t="s">
        <v>391</v>
      </c>
      <c r="AU18" s="59">
        <v>1</v>
      </c>
      <c r="AV18" s="59" t="s">
        <v>392</v>
      </c>
      <c r="AW18" s="60">
        <v>0.5</v>
      </c>
      <c r="AX18" s="52">
        <f t="shared" si="11"/>
        <v>0.66666666666666663</v>
      </c>
      <c r="AY18" s="57" t="str">
        <f t="shared" si="12"/>
        <v>PARTIAL</v>
      </c>
      <c r="BA18" s="80">
        <f t="shared" si="15"/>
        <v>0.85833333333333317</v>
      </c>
      <c r="BC18" s="81">
        <f t="shared" si="13"/>
        <v>0.66666666666666663</v>
      </c>
      <c r="BD18" s="82" t="str">
        <f t="shared" si="14"/>
        <v>PF</v>
      </c>
    </row>
    <row r="19" spans="1:56" ht="250.2" customHeight="1" thickBot="1" x14ac:dyDescent="0.3">
      <c r="A19" s="15">
        <v>16</v>
      </c>
      <c r="B19" s="20" t="s">
        <v>79</v>
      </c>
      <c r="C19" s="7" t="s">
        <v>80</v>
      </c>
      <c r="D19" s="38">
        <v>2023</v>
      </c>
      <c r="E19" s="54" t="s">
        <v>64</v>
      </c>
      <c r="F19" s="58">
        <v>1</v>
      </c>
      <c r="G19" s="59" t="s">
        <v>302</v>
      </c>
      <c r="H19" s="59">
        <v>0.5</v>
      </c>
      <c r="I19" s="59" t="s">
        <v>301</v>
      </c>
      <c r="J19" s="59">
        <v>1</v>
      </c>
      <c r="K19" s="59" t="s">
        <v>300</v>
      </c>
      <c r="L19" s="56">
        <f t="shared" si="3"/>
        <v>0.83333333333333337</v>
      </c>
      <c r="M19" s="49" t="str">
        <f t="shared" si="4"/>
        <v>PARTIAL</v>
      </c>
      <c r="N19" s="58">
        <v>1</v>
      </c>
      <c r="O19" s="59" t="s">
        <v>393</v>
      </c>
      <c r="P19" s="59">
        <v>0.5</v>
      </c>
      <c r="Q19" s="59" t="s">
        <v>394</v>
      </c>
      <c r="R19" s="59">
        <v>1</v>
      </c>
      <c r="S19" s="59" t="s">
        <v>395</v>
      </c>
      <c r="T19" s="59">
        <v>1</v>
      </c>
      <c r="U19" s="59" t="s">
        <v>396</v>
      </c>
      <c r="V19" s="56">
        <f t="shared" si="5"/>
        <v>0.875</v>
      </c>
      <c r="W19" s="57" t="str">
        <f t="shared" si="6"/>
        <v>PARTIAL</v>
      </c>
      <c r="X19" s="17" t="s">
        <v>397</v>
      </c>
      <c r="Y19" s="59">
        <v>0.5</v>
      </c>
      <c r="Z19" s="18" t="s">
        <v>398</v>
      </c>
      <c r="AA19" s="59">
        <v>0.5</v>
      </c>
      <c r="AB19" s="18" t="s">
        <v>399</v>
      </c>
      <c r="AC19" s="59">
        <v>0</v>
      </c>
      <c r="AD19" s="18" t="s">
        <v>400</v>
      </c>
      <c r="AE19" s="59">
        <v>0.5</v>
      </c>
      <c r="AF19" s="48">
        <f t="shared" ref="AF19:AF35" si="16">AVERAGE(Y19, AA19,AC19, AE19)</f>
        <v>0.375</v>
      </c>
      <c r="AG19" s="50" t="str">
        <f t="shared" si="8"/>
        <v>PARTIAL</v>
      </c>
      <c r="AH19" s="18" t="s">
        <v>401</v>
      </c>
      <c r="AI19" s="59">
        <v>0.5</v>
      </c>
      <c r="AJ19" s="18" t="s">
        <v>402</v>
      </c>
      <c r="AK19" s="59">
        <v>1</v>
      </c>
      <c r="AL19" s="18" t="s">
        <v>403</v>
      </c>
      <c r="AM19" s="59">
        <v>0</v>
      </c>
      <c r="AN19" s="18" t="s">
        <v>404</v>
      </c>
      <c r="AO19" s="59">
        <v>0.5</v>
      </c>
      <c r="AP19" s="48">
        <f t="shared" si="9"/>
        <v>0.5</v>
      </c>
      <c r="AQ19" s="51" t="str">
        <f t="shared" si="10"/>
        <v>PARTIAL</v>
      </c>
      <c r="AR19" s="17" t="s">
        <v>405</v>
      </c>
      <c r="AS19" s="59">
        <v>0.5</v>
      </c>
      <c r="AT19" s="18" t="s">
        <v>406</v>
      </c>
      <c r="AU19" s="59">
        <v>0.5</v>
      </c>
      <c r="AV19" s="18" t="s">
        <v>407</v>
      </c>
      <c r="AW19" s="60">
        <v>0.5</v>
      </c>
      <c r="AX19" s="52">
        <f t="shared" si="11"/>
        <v>0.5</v>
      </c>
      <c r="AY19" s="57" t="str">
        <f t="shared" si="12"/>
        <v>PARTIAL</v>
      </c>
      <c r="BA19" s="80">
        <f t="shared" si="15"/>
        <v>0.6166666666666667</v>
      </c>
      <c r="BC19" s="81">
        <f t="shared" si="13"/>
        <v>0.375</v>
      </c>
      <c r="BD19" s="82" t="str">
        <f t="shared" si="14"/>
        <v>SRA</v>
      </c>
    </row>
    <row r="20" spans="1:56" ht="173.4" customHeight="1" thickBot="1" x14ac:dyDescent="0.3">
      <c r="A20" s="15">
        <v>17</v>
      </c>
      <c r="B20" s="20" t="s">
        <v>81</v>
      </c>
      <c r="C20" s="7" t="s">
        <v>82</v>
      </c>
      <c r="D20" s="38">
        <v>2023</v>
      </c>
      <c r="E20" s="54" t="s">
        <v>54</v>
      </c>
      <c r="F20" s="58">
        <v>1</v>
      </c>
      <c r="G20" s="18" t="s">
        <v>303</v>
      </c>
      <c r="H20" s="59">
        <v>1</v>
      </c>
      <c r="I20" s="18" t="s">
        <v>304</v>
      </c>
      <c r="J20" s="59">
        <v>1</v>
      </c>
      <c r="K20" s="18" t="s">
        <v>305</v>
      </c>
      <c r="L20" s="56">
        <f t="shared" si="3"/>
        <v>1</v>
      </c>
      <c r="M20" s="49" t="str">
        <f t="shared" si="4"/>
        <v>FULL</v>
      </c>
      <c r="N20" s="58">
        <v>1</v>
      </c>
      <c r="O20" s="18" t="s">
        <v>408</v>
      </c>
      <c r="P20" s="59">
        <v>1</v>
      </c>
      <c r="Q20" s="18" t="s">
        <v>409</v>
      </c>
      <c r="R20" s="59">
        <v>1</v>
      </c>
      <c r="S20" s="18" t="s">
        <v>410</v>
      </c>
      <c r="T20" s="59">
        <v>1</v>
      </c>
      <c r="U20" s="18" t="s">
        <v>411</v>
      </c>
      <c r="V20" s="56">
        <f t="shared" si="5"/>
        <v>1</v>
      </c>
      <c r="W20" s="57" t="str">
        <f t="shared" si="6"/>
        <v>FULL</v>
      </c>
      <c r="X20" s="17" t="s">
        <v>412</v>
      </c>
      <c r="Y20" s="59">
        <v>1</v>
      </c>
      <c r="Z20" s="18" t="s">
        <v>413</v>
      </c>
      <c r="AA20" s="59">
        <v>0.5</v>
      </c>
      <c r="AB20" s="18" t="s">
        <v>414</v>
      </c>
      <c r="AC20" s="59">
        <v>1</v>
      </c>
      <c r="AD20" s="18" t="s">
        <v>415</v>
      </c>
      <c r="AE20" s="59">
        <v>1</v>
      </c>
      <c r="AF20" s="48">
        <f t="shared" si="16"/>
        <v>0.875</v>
      </c>
      <c r="AG20" s="50" t="str">
        <f t="shared" si="8"/>
        <v>PARTIAL</v>
      </c>
      <c r="AH20" s="18" t="s">
        <v>416</v>
      </c>
      <c r="AI20" s="59">
        <v>1</v>
      </c>
      <c r="AJ20" s="18" t="s">
        <v>417</v>
      </c>
      <c r="AK20" s="59">
        <v>1</v>
      </c>
      <c r="AL20" s="18" t="s">
        <v>418</v>
      </c>
      <c r="AM20" s="59">
        <v>0.5</v>
      </c>
      <c r="AN20" s="18" t="s">
        <v>419</v>
      </c>
      <c r="AO20" s="59">
        <v>0.5</v>
      </c>
      <c r="AP20" s="48">
        <f t="shared" si="9"/>
        <v>0.75</v>
      </c>
      <c r="AQ20" s="51" t="str">
        <f t="shared" si="10"/>
        <v>PARTIAL</v>
      </c>
      <c r="AR20" s="17" t="s">
        <v>420</v>
      </c>
      <c r="AS20" s="59">
        <v>1</v>
      </c>
      <c r="AT20" s="18" t="s">
        <v>421</v>
      </c>
      <c r="AU20" s="59">
        <v>1</v>
      </c>
      <c r="AV20" s="18" t="s">
        <v>422</v>
      </c>
      <c r="AW20" s="60">
        <v>0.5</v>
      </c>
      <c r="AX20" s="52">
        <f t="shared" si="11"/>
        <v>0.83333333333333337</v>
      </c>
      <c r="AY20" s="57" t="str">
        <f t="shared" si="12"/>
        <v>PARTIAL</v>
      </c>
      <c r="BA20" s="80">
        <f t="shared" si="15"/>
        <v>0.89166666666666683</v>
      </c>
      <c r="BC20" s="81">
        <f t="shared" si="13"/>
        <v>0.75</v>
      </c>
      <c r="BD20" s="82" t="str">
        <f t="shared" si="14"/>
        <v>FF</v>
      </c>
    </row>
    <row r="21" spans="1:56" ht="171.6" customHeight="1" thickBot="1" x14ac:dyDescent="0.3">
      <c r="A21" s="15">
        <v>18</v>
      </c>
      <c r="B21" s="20" t="s">
        <v>83</v>
      </c>
      <c r="C21" s="7" t="s">
        <v>84</v>
      </c>
      <c r="D21" s="38">
        <v>2023</v>
      </c>
      <c r="E21" s="54" t="s">
        <v>85</v>
      </c>
      <c r="F21" s="58">
        <v>1</v>
      </c>
      <c r="G21" s="59" t="s">
        <v>306</v>
      </c>
      <c r="H21" s="59">
        <v>0.5</v>
      </c>
      <c r="I21" s="59" t="s">
        <v>307</v>
      </c>
      <c r="J21" s="59">
        <v>1</v>
      </c>
      <c r="K21" s="59" t="s">
        <v>308</v>
      </c>
      <c r="L21" s="56">
        <f t="shared" si="3"/>
        <v>0.83333333333333337</v>
      </c>
      <c r="M21" s="49" t="str">
        <f t="shared" si="4"/>
        <v>PARTIAL</v>
      </c>
      <c r="N21" s="58">
        <v>1</v>
      </c>
      <c r="O21" s="59" t="s">
        <v>423</v>
      </c>
      <c r="P21" s="59">
        <v>1</v>
      </c>
      <c r="Q21" s="59" t="s">
        <v>424</v>
      </c>
      <c r="R21" s="59">
        <v>1</v>
      </c>
      <c r="S21" s="59" t="s">
        <v>425</v>
      </c>
      <c r="T21" s="59">
        <v>0.5</v>
      </c>
      <c r="U21" s="59" t="s">
        <v>426</v>
      </c>
      <c r="V21" s="56">
        <f t="shared" si="5"/>
        <v>0.875</v>
      </c>
      <c r="W21" s="57" t="str">
        <f t="shared" si="6"/>
        <v>PARTIAL</v>
      </c>
      <c r="X21" s="58" t="s">
        <v>427</v>
      </c>
      <c r="Y21" s="59">
        <v>1</v>
      </c>
      <c r="Z21" s="59" t="s">
        <v>428</v>
      </c>
      <c r="AA21" s="59">
        <v>1</v>
      </c>
      <c r="AB21" s="59" t="s">
        <v>429</v>
      </c>
      <c r="AC21" s="59">
        <v>0.5</v>
      </c>
      <c r="AD21" s="59" t="s">
        <v>430</v>
      </c>
      <c r="AE21" s="59">
        <v>0.5</v>
      </c>
      <c r="AF21" s="48">
        <f t="shared" si="16"/>
        <v>0.75</v>
      </c>
      <c r="AG21" s="50" t="str">
        <f t="shared" si="8"/>
        <v>PARTIAL</v>
      </c>
      <c r="AH21" s="59" t="s">
        <v>431</v>
      </c>
      <c r="AI21" s="59">
        <v>1</v>
      </c>
      <c r="AJ21" s="59" t="s">
        <v>432</v>
      </c>
      <c r="AK21" s="59">
        <v>0.5</v>
      </c>
      <c r="AL21" s="59" t="s">
        <v>433</v>
      </c>
      <c r="AM21" s="59">
        <v>0.5</v>
      </c>
      <c r="AN21" s="59" t="s">
        <v>434</v>
      </c>
      <c r="AO21" s="59">
        <v>0.5</v>
      </c>
      <c r="AP21" s="48">
        <f t="shared" si="9"/>
        <v>0.625</v>
      </c>
      <c r="AQ21" s="51" t="str">
        <f t="shared" si="10"/>
        <v>PARTIAL</v>
      </c>
      <c r="AR21" s="58" t="s">
        <v>435</v>
      </c>
      <c r="AS21" s="59">
        <v>1</v>
      </c>
      <c r="AT21" s="59" t="s">
        <v>436</v>
      </c>
      <c r="AU21" s="59">
        <v>1</v>
      </c>
      <c r="AV21" s="59" t="s">
        <v>344</v>
      </c>
      <c r="AW21" s="60">
        <v>0.5</v>
      </c>
      <c r="AX21" s="52">
        <f t="shared" si="11"/>
        <v>0.83333333333333337</v>
      </c>
      <c r="AY21" s="57" t="str">
        <f t="shared" si="12"/>
        <v>PARTIAL</v>
      </c>
      <c r="BA21" s="80">
        <f t="shared" si="15"/>
        <v>0.78333333333333344</v>
      </c>
      <c r="BC21" s="81">
        <f t="shared" si="13"/>
        <v>0.625</v>
      </c>
      <c r="BD21" s="82" t="str">
        <f t="shared" si="14"/>
        <v>PF</v>
      </c>
    </row>
    <row r="22" spans="1:56" ht="184.95" customHeight="1" thickBot="1" x14ac:dyDescent="0.3">
      <c r="A22" s="15">
        <v>19</v>
      </c>
      <c r="B22" s="20" t="s">
        <v>86</v>
      </c>
      <c r="C22" s="7" t="s">
        <v>87</v>
      </c>
      <c r="D22" s="38">
        <v>2023</v>
      </c>
      <c r="E22" s="54" t="s">
        <v>54</v>
      </c>
      <c r="F22" s="58">
        <v>1</v>
      </c>
      <c r="G22" s="59" t="s">
        <v>309</v>
      </c>
      <c r="H22" s="59">
        <v>0.5</v>
      </c>
      <c r="I22" s="59" t="s">
        <v>310</v>
      </c>
      <c r="J22" s="59">
        <v>1</v>
      </c>
      <c r="K22" s="59" t="s">
        <v>311</v>
      </c>
      <c r="L22" s="56">
        <f t="shared" si="3"/>
        <v>0.83333333333333337</v>
      </c>
      <c r="M22" s="49" t="str">
        <f t="shared" si="4"/>
        <v>PARTIAL</v>
      </c>
      <c r="N22" s="58">
        <v>1</v>
      </c>
      <c r="O22" s="59" t="s">
        <v>437</v>
      </c>
      <c r="P22" s="59">
        <v>1</v>
      </c>
      <c r="Q22" s="59" t="s">
        <v>438</v>
      </c>
      <c r="R22" s="59">
        <v>1</v>
      </c>
      <c r="S22" s="59" t="s">
        <v>439</v>
      </c>
      <c r="T22" s="59">
        <v>0.5</v>
      </c>
      <c r="U22" s="59" t="s">
        <v>440</v>
      </c>
      <c r="V22" s="56">
        <f t="shared" si="5"/>
        <v>0.875</v>
      </c>
      <c r="W22" s="57" t="str">
        <f t="shared" si="6"/>
        <v>PARTIAL</v>
      </c>
      <c r="X22" s="58" t="s">
        <v>441</v>
      </c>
      <c r="Y22" s="59">
        <v>0.5</v>
      </c>
      <c r="Z22" s="59" t="s">
        <v>442</v>
      </c>
      <c r="AA22" s="59">
        <v>0.5</v>
      </c>
      <c r="AB22" s="59" t="s">
        <v>443</v>
      </c>
      <c r="AC22" s="59">
        <v>0</v>
      </c>
      <c r="AD22" s="59" t="s">
        <v>444</v>
      </c>
      <c r="AE22" s="59">
        <v>0.5</v>
      </c>
      <c r="AF22" s="48">
        <f t="shared" si="16"/>
        <v>0.375</v>
      </c>
      <c r="AG22" s="50" t="str">
        <f t="shared" si="8"/>
        <v>PARTIAL</v>
      </c>
      <c r="AH22" s="59" t="s">
        <v>445</v>
      </c>
      <c r="AI22" s="59">
        <v>1</v>
      </c>
      <c r="AJ22" s="59" t="s">
        <v>446</v>
      </c>
      <c r="AK22" s="59">
        <v>0.5</v>
      </c>
      <c r="AL22" s="59" t="s">
        <v>312</v>
      </c>
      <c r="AM22" s="59">
        <v>0</v>
      </c>
      <c r="AN22" s="59" t="s">
        <v>447</v>
      </c>
      <c r="AO22" s="59">
        <v>0.5</v>
      </c>
      <c r="AP22" s="48">
        <f t="shared" si="9"/>
        <v>0.5</v>
      </c>
      <c r="AQ22" s="51" t="str">
        <f t="shared" si="10"/>
        <v>PARTIAL</v>
      </c>
      <c r="AR22" s="58" t="s">
        <v>448</v>
      </c>
      <c r="AS22" s="59">
        <v>1</v>
      </c>
      <c r="AT22" s="59" t="s">
        <v>449</v>
      </c>
      <c r="AU22" s="59">
        <v>0.5</v>
      </c>
      <c r="AV22" s="59" t="s">
        <v>450</v>
      </c>
      <c r="AW22" s="60">
        <v>0.5</v>
      </c>
      <c r="AX22" s="52">
        <f t="shared" si="11"/>
        <v>0.66666666666666663</v>
      </c>
      <c r="AY22" s="57" t="str">
        <f t="shared" si="12"/>
        <v>PARTIAL</v>
      </c>
      <c r="BA22" s="80">
        <f t="shared" si="15"/>
        <v>0.65</v>
      </c>
      <c r="BC22" s="81">
        <f t="shared" si="13"/>
        <v>0.375</v>
      </c>
      <c r="BD22" s="82" t="str">
        <f t="shared" si="14"/>
        <v>SRA</v>
      </c>
    </row>
    <row r="23" spans="1:56" ht="166.2" customHeight="1" thickBot="1" x14ac:dyDescent="0.3">
      <c r="A23" s="15">
        <v>20</v>
      </c>
      <c r="B23" s="20" t="s">
        <v>88</v>
      </c>
      <c r="C23" s="7" t="s">
        <v>89</v>
      </c>
      <c r="D23" s="38">
        <v>2024</v>
      </c>
      <c r="E23" s="54" t="s">
        <v>54</v>
      </c>
      <c r="F23" s="58">
        <v>1</v>
      </c>
      <c r="G23" s="59" t="s">
        <v>313</v>
      </c>
      <c r="H23" s="59">
        <v>1</v>
      </c>
      <c r="I23" s="59" t="s">
        <v>314</v>
      </c>
      <c r="J23" s="59">
        <v>1</v>
      </c>
      <c r="K23" s="59" t="s">
        <v>315</v>
      </c>
      <c r="L23" s="56">
        <f t="shared" si="3"/>
        <v>1</v>
      </c>
      <c r="M23" s="49" t="str">
        <f t="shared" si="4"/>
        <v>FULL</v>
      </c>
      <c r="N23" s="58">
        <v>1</v>
      </c>
      <c r="O23" s="59" t="s">
        <v>451</v>
      </c>
      <c r="P23" s="59">
        <v>1</v>
      </c>
      <c r="Q23" s="59" t="s">
        <v>452</v>
      </c>
      <c r="R23" s="59">
        <v>0.5</v>
      </c>
      <c r="S23" s="59" t="s">
        <v>453</v>
      </c>
      <c r="T23" s="59">
        <v>1</v>
      </c>
      <c r="U23" s="59" t="s">
        <v>454</v>
      </c>
      <c r="V23" s="56">
        <f t="shared" si="5"/>
        <v>0.875</v>
      </c>
      <c r="W23" s="57" t="str">
        <f t="shared" si="6"/>
        <v>PARTIAL</v>
      </c>
      <c r="X23" s="58" t="s">
        <v>455</v>
      </c>
      <c r="Y23" s="59">
        <v>1</v>
      </c>
      <c r="Z23" s="59" t="s">
        <v>456</v>
      </c>
      <c r="AA23" s="59">
        <v>1</v>
      </c>
      <c r="AB23" s="59" t="s">
        <v>457</v>
      </c>
      <c r="AC23" s="59">
        <v>1</v>
      </c>
      <c r="AD23" s="59" t="s">
        <v>458</v>
      </c>
      <c r="AE23" s="59">
        <v>1</v>
      </c>
      <c r="AF23" s="48">
        <f t="shared" si="16"/>
        <v>1</v>
      </c>
      <c r="AG23" s="50" t="str">
        <f t="shared" si="8"/>
        <v>FULL</v>
      </c>
      <c r="AH23" s="59" t="s">
        <v>459</v>
      </c>
      <c r="AI23" s="59">
        <v>1</v>
      </c>
      <c r="AJ23" s="59" t="s">
        <v>460</v>
      </c>
      <c r="AK23" s="59">
        <v>1</v>
      </c>
      <c r="AL23" s="59" t="s">
        <v>461</v>
      </c>
      <c r="AM23" s="59">
        <v>1</v>
      </c>
      <c r="AN23" s="59" t="s">
        <v>462</v>
      </c>
      <c r="AO23" s="59">
        <v>1</v>
      </c>
      <c r="AP23" s="48">
        <f t="shared" si="9"/>
        <v>1</v>
      </c>
      <c r="AQ23" s="51" t="str">
        <f t="shared" si="10"/>
        <v>FULL</v>
      </c>
      <c r="AR23" s="58" t="s">
        <v>463</v>
      </c>
      <c r="AS23" s="59">
        <v>1</v>
      </c>
      <c r="AT23" s="59" t="s">
        <v>464</v>
      </c>
      <c r="AU23" s="59">
        <v>1</v>
      </c>
      <c r="AV23" s="59" t="s">
        <v>465</v>
      </c>
      <c r="AW23" s="60">
        <v>1</v>
      </c>
      <c r="AX23" s="52">
        <f t="shared" si="11"/>
        <v>1</v>
      </c>
      <c r="AY23" s="57" t="str">
        <f t="shared" si="12"/>
        <v>FULL</v>
      </c>
      <c r="BA23" s="80">
        <f t="shared" si="15"/>
        <v>0.97499999999999998</v>
      </c>
      <c r="BC23" s="81">
        <f t="shared" si="13"/>
        <v>0.875</v>
      </c>
      <c r="BD23" s="82" t="str">
        <f t="shared" si="14"/>
        <v>FF</v>
      </c>
    </row>
    <row r="24" spans="1:56" ht="154.19999999999999" customHeight="1" thickBot="1" x14ac:dyDescent="0.3">
      <c r="A24" s="15">
        <v>21</v>
      </c>
      <c r="B24" s="20" t="s">
        <v>90</v>
      </c>
      <c r="C24" s="7" t="s">
        <v>91</v>
      </c>
      <c r="D24" s="38">
        <v>2024</v>
      </c>
      <c r="E24" s="54" t="s">
        <v>85</v>
      </c>
      <c r="F24" s="58">
        <v>1</v>
      </c>
      <c r="G24" s="59" t="s">
        <v>318</v>
      </c>
      <c r="H24" s="59">
        <v>0.5</v>
      </c>
      <c r="I24" s="59" t="s">
        <v>317</v>
      </c>
      <c r="J24" s="59">
        <v>1</v>
      </c>
      <c r="K24" s="59" t="s">
        <v>316</v>
      </c>
      <c r="L24" s="56">
        <f t="shared" si="3"/>
        <v>0.83333333333333337</v>
      </c>
      <c r="M24" s="49" t="str">
        <f t="shared" si="4"/>
        <v>PARTIAL</v>
      </c>
      <c r="N24" s="58">
        <v>1</v>
      </c>
      <c r="O24" s="59" t="s">
        <v>466</v>
      </c>
      <c r="P24" s="59">
        <v>1</v>
      </c>
      <c r="Q24" s="59" t="s">
        <v>467</v>
      </c>
      <c r="R24" s="59">
        <v>1</v>
      </c>
      <c r="S24" s="59" t="s">
        <v>468</v>
      </c>
      <c r="T24" s="59">
        <v>1</v>
      </c>
      <c r="U24" s="59" t="s">
        <v>469</v>
      </c>
      <c r="V24" s="56">
        <f t="shared" si="5"/>
        <v>1</v>
      </c>
      <c r="W24" s="57" t="str">
        <f t="shared" si="6"/>
        <v>FULL</v>
      </c>
      <c r="X24" s="58" t="s">
        <v>470</v>
      </c>
      <c r="Y24" s="59">
        <v>1</v>
      </c>
      <c r="Z24" s="59" t="s">
        <v>471</v>
      </c>
      <c r="AA24" s="59">
        <v>0.5</v>
      </c>
      <c r="AB24" s="59" t="s">
        <v>472</v>
      </c>
      <c r="AC24" s="59">
        <v>0.5</v>
      </c>
      <c r="AD24" s="59" t="s">
        <v>473</v>
      </c>
      <c r="AE24" s="59">
        <v>0.5</v>
      </c>
      <c r="AF24" s="48">
        <f t="shared" si="16"/>
        <v>0.625</v>
      </c>
      <c r="AG24" s="50" t="str">
        <f t="shared" si="8"/>
        <v>PARTIAL</v>
      </c>
      <c r="AH24" s="59" t="s">
        <v>474</v>
      </c>
      <c r="AI24" s="59">
        <v>1</v>
      </c>
      <c r="AJ24" s="59" t="s">
        <v>475</v>
      </c>
      <c r="AK24" s="59">
        <v>1</v>
      </c>
      <c r="AL24" s="59" t="s">
        <v>476</v>
      </c>
      <c r="AM24" s="59">
        <v>0.5</v>
      </c>
      <c r="AN24" s="59" t="s">
        <v>477</v>
      </c>
      <c r="AO24" s="59">
        <v>1</v>
      </c>
      <c r="AP24" s="48">
        <f t="shared" si="9"/>
        <v>0.875</v>
      </c>
      <c r="AQ24" s="51" t="str">
        <f t="shared" si="10"/>
        <v>PARTIAL</v>
      </c>
      <c r="AR24" s="58" t="s">
        <v>478</v>
      </c>
      <c r="AS24" s="59">
        <v>1</v>
      </c>
      <c r="AT24" s="59" t="s">
        <v>479</v>
      </c>
      <c r="AU24" s="59">
        <v>1</v>
      </c>
      <c r="AV24" s="59" t="s">
        <v>319</v>
      </c>
      <c r="AW24" s="60">
        <v>0.5</v>
      </c>
      <c r="AX24" s="52">
        <f t="shared" si="11"/>
        <v>0.83333333333333337</v>
      </c>
      <c r="AY24" s="57" t="str">
        <f t="shared" si="12"/>
        <v>PARTIAL</v>
      </c>
      <c r="BA24" s="80">
        <f t="shared" si="15"/>
        <v>0.83333333333333337</v>
      </c>
      <c r="BC24" s="81">
        <f t="shared" si="13"/>
        <v>0.625</v>
      </c>
      <c r="BD24" s="82" t="str">
        <f t="shared" si="14"/>
        <v>PF</v>
      </c>
    </row>
    <row r="25" spans="1:56" ht="148.19999999999999" customHeight="1" thickBot="1" x14ac:dyDescent="0.3">
      <c r="A25" s="15">
        <v>22</v>
      </c>
      <c r="B25" s="20" t="s">
        <v>92</v>
      </c>
      <c r="C25" s="7" t="s">
        <v>93</v>
      </c>
      <c r="D25" s="38">
        <v>2024</v>
      </c>
      <c r="E25" s="54" t="s">
        <v>64</v>
      </c>
      <c r="F25" s="58">
        <v>1</v>
      </c>
      <c r="G25" s="59" t="s">
        <v>320</v>
      </c>
      <c r="H25" s="59">
        <v>1</v>
      </c>
      <c r="I25" s="59" t="s">
        <v>321</v>
      </c>
      <c r="J25" s="59">
        <v>1</v>
      </c>
      <c r="K25" s="59" t="s">
        <v>322</v>
      </c>
      <c r="L25" s="56">
        <f t="shared" si="3"/>
        <v>1</v>
      </c>
      <c r="M25" s="49" t="str">
        <f t="shared" si="4"/>
        <v>FULL</v>
      </c>
      <c r="N25" s="58">
        <v>1</v>
      </c>
      <c r="O25" s="59" t="s">
        <v>480</v>
      </c>
      <c r="P25" s="59">
        <v>0.5</v>
      </c>
      <c r="Q25" s="59" t="s">
        <v>481</v>
      </c>
      <c r="R25" s="59">
        <v>1</v>
      </c>
      <c r="S25" s="59" t="s">
        <v>482</v>
      </c>
      <c r="T25" s="59">
        <v>1</v>
      </c>
      <c r="U25" s="59" t="s">
        <v>483</v>
      </c>
      <c r="V25" s="56">
        <f t="shared" si="5"/>
        <v>0.875</v>
      </c>
      <c r="W25" s="57" t="str">
        <f t="shared" si="6"/>
        <v>PARTIAL</v>
      </c>
      <c r="X25" s="58" t="s">
        <v>484</v>
      </c>
      <c r="Y25" s="59">
        <v>0.5</v>
      </c>
      <c r="Z25" s="59" t="s">
        <v>485</v>
      </c>
      <c r="AA25" s="59">
        <v>1</v>
      </c>
      <c r="AB25" s="59" t="s">
        <v>486</v>
      </c>
      <c r="AC25" s="59">
        <v>1</v>
      </c>
      <c r="AD25" s="59" t="s">
        <v>487</v>
      </c>
      <c r="AE25" s="59">
        <v>1</v>
      </c>
      <c r="AF25" s="48">
        <f t="shared" si="16"/>
        <v>0.875</v>
      </c>
      <c r="AG25" s="50" t="str">
        <f t="shared" si="8"/>
        <v>PARTIAL</v>
      </c>
      <c r="AH25" s="59" t="s">
        <v>488</v>
      </c>
      <c r="AI25" s="59">
        <v>1</v>
      </c>
      <c r="AJ25" s="59" t="s">
        <v>489</v>
      </c>
      <c r="AK25" s="59">
        <v>1</v>
      </c>
      <c r="AL25" s="59" t="s">
        <v>490</v>
      </c>
      <c r="AM25" s="59">
        <v>1</v>
      </c>
      <c r="AN25" s="59" t="s">
        <v>491</v>
      </c>
      <c r="AO25" s="59">
        <v>0.5</v>
      </c>
      <c r="AP25" s="48">
        <f t="shared" si="9"/>
        <v>0.875</v>
      </c>
      <c r="AQ25" s="51" t="str">
        <f t="shared" si="10"/>
        <v>PARTIAL</v>
      </c>
      <c r="AR25" s="58" t="s">
        <v>323</v>
      </c>
      <c r="AS25" s="59">
        <v>0.5</v>
      </c>
      <c r="AT25" s="59" t="s">
        <v>324</v>
      </c>
      <c r="AU25" s="59">
        <v>0.5</v>
      </c>
      <c r="AV25" s="59" t="s">
        <v>325</v>
      </c>
      <c r="AW25" s="60">
        <v>0.5</v>
      </c>
      <c r="AX25" s="52">
        <f t="shared" si="11"/>
        <v>0.5</v>
      </c>
      <c r="AY25" s="57" t="str">
        <f t="shared" si="12"/>
        <v>PARTIAL</v>
      </c>
      <c r="BA25" s="80">
        <f t="shared" si="15"/>
        <v>0.82499999999999996</v>
      </c>
      <c r="BC25" s="81">
        <f t="shared" si="13"/>
        <v>0.5</v>
      </c>
      <c r="BD25" s="82" t="str">
        <f t="shared" si="14"/>
        <v>PF</v>
      </c>
    </row>
    <row r="26" spans="1:56" ht="188.4" customHeight="1" thickBot="1" x14ac:dyDescent="0.3">
      <c r="A26" s="15">
        <v>23</v>
      </c>
      <c r="B26" s="20" t="s">
        <v>94</v>
      </c>
      <c r="C26" s="7" t="s">
        <v>95</v>
      </c>
      <c r="D26" s="38">
        <v>2024</v>
      </c>
      <c r="E26" s="54" t="s">
        <v>64</v>
      </c>
      <c r="F26" s="20">
        <v>1</v>
      </c>
      <c r="G26" s="7" t="s">
        <v>326</v>
      </c>
      <c r="H26" s="7">
        <v>0.5</v>
      </c>
      <c r="I26" s="7" t="s">
        <v>327</v>
      </c>
      <c r="J26" s="7">
        <v>1</v>
      </c>
      <c r="K26" s="7" t="s">
        <v>328</v>
      </c>
      <c r="L26" s="56">
        <f t="shared" si="3"/>
        <v>0.83333333333333337</v>
      </c>
      <c r="M26" s="49" t="str">
        <f t="shared" si="4"/>
        <v>PARTIAL</v>
      </c>
      <c r="N26" s="58">
        <v>1</v>
      </c>
      <c r="O26" s="59" t="s">
        <v>492</v>
      </c>
      <c r="P26" s="59">
        <v>0.5</v>
      </c>
      <c r="Q26" s="59" t="s">
        <v>493</v>
      </c>
      <c r="R26" s="59">
        <v>1</v>
      </c>
      <c r="S26" s="59" t="s">
        <v>494</v>
      </c>
      <c r="T26" s="59">
        <v>1</v>
      </c>
      <c r="U26" s="59" t="s">
        <v>495</v>
      </c>
      <c r="V26" s="56">
        <f t="shared" si="5"/>
        <v>0.875</v>
      </c>
      <c r="W26" s="57" t="str">
        <f t="shared" si="6"/>
        <v>PARTIAL</v>
      </c>
      <c r="X26" s="58" t="s">
        <v>496</v>
      </c>
      <c r="Y26" s="59">
        <v>1</v>
      </c>
      <c r="Z26" s="59" t="s">
        <v>497</v>
      </c>
      <c r="AA26" s="59">
        <v>0.5</v>
      </c>
      <c r="AB26" s="59" t="s">
        <v>498</v>
      </c>
      <c r="AC26" s="59">
        <v>0.5</v>
      </c>
      <c r="AD26" s="59" t="s">
        <v>499</v>
      </c>
      <c r="AE26" s="59">
        <v>0.5</v>
      </c>
      <c r="AF26" s="48">
        <f t="shared" si="16"/>
        <v>0.625</v>
      </c>
      <c r="AG26" s="50" t="str">
        <f t="shared" si="8"/>
        <v>PARTIAL</v>
      </c>
      <c r="AH26" s="59" t="s">
        <v>500</v>
      </c>
      <c r="AI26" s="59">
        <v>1</v>
      </c>
      <c r="AJ26" s="59" t="s">
        <v>501</v>
      </c>
      <c r="AK26" s="59">
        <v>1</v>
      </c>
      <c r="AL26" s="59" t="s">
        <v>502</v>
      </c>
      <c r="AM26" s="59">
        <v>0.5</v>
      </c>
      <c r="AN26" s="59" t="s">
        <v>503</v>
      </c>
      <c r="AO26" s="59">
        <v>1</v>
      </c>
      <c r="AP26" s="48">
        <f t="shared" si="9"/>
        <v>0.875</v>
      </c>
      <c r="AQ26" s="51" t="str">
        <f t="shared" si="10"/>
        <v>PARTIAL</v>
      </c>
      <c r="AR26" s="58" t="s">
        <v>504</v>
      </c>
      <c r="AS26" s="59">
        <v>0.5</v>
      </c>
      <c r="AT26" s="59" t="s">
        <v>505</v>
      </c>
      <c r="AU26" s="59">
        <v>1</v>
      </c>
      <c r="AV26" s="59" t="s">
        <v>506</v>
      </c>
      <c r="AW26" s="60">
        <v>0.5</v>
      </c>
      <c r="AX26" s="52">
        <f t="shared" si="11"/>
        <v>0.66666666666666663</v>
      </c>
      <c r="AY26" s="57" t="str">
        <f t="shared" si="12"/>
        <v>PARTIAL</v>
      </c>
      <c r="BA26" s="80">
        <f t="shared" si="15"/>
        <v>0.77500000000000002</v>
      </c>
      <c r="BC26" s="81">
        <f t="shared" si="13"/>
        <v>0.625</v>
      </c>
      <c r="BD26" s="82" t="str">
        <f t="shared" si="14"/>
        <v>PF</v>
      </c>
    </row>
    <row r="27" spans="1:56" ht="149.4" customHeight="1" thickBot="1" x14ac:dyDescent="0.3">
      <c r="A27" s="15">
        <v>24</v>
      </c>
      <c r="B27" s="20" t="s">
        <v>96</v>
      </c>
      <c r="C27" s="7" t="s">
        <v>97</v>
      </c>
      <c r="D27" s="38">
        <v>2025</v>
      </c>
      <c r="E27" s="54" t="s">
        <v>64</v>
      </c>
      <c r="F27" s="20">
        <v>1</v>
      </c>
      <c r="G27" s="7" t="s">
        <v>329</v>
      </c>
      <c r="H27" s="7">
        <v>0.5</v>
      </c>
      <c r="I27" s="7" t="s">
        <v>330</v>
      </c>
      <c r="J27" s="7">
        <v>1</v>
      </c>
      <c r="K27" s="7" t="s">
        <v>331</v>
      </c>
      <c r="L27" s="56">
        <f t="shared" si="3"/>
        <v>0.83333333333333337</v>
      </c>
      <c r="M27" s="49" t="str">
        <f t="shared" si="4"/>
        <v>PARTIAL</v>
      </c>
      <c r="N27" s="58">
        <v>1</v>
      </c>
      <c r="O27" s="59" t="s">
        <v>507</v>
      </c>
      <c r="P27" s="59">
        <v>0.5</v>
      </c>
      <c r="Q27" s="59" t="s">
        <v>508</v>
      </c>
      <c r="R27" s="59">
        <v>1</v>
      </c>
      <c r="S27" s="59" t="s">
        <v>509</v>
      </c>
      <c r="T27" s="59">
        <v>1</v>
      </c>
      <c r="U27" s="59" t="s">
        <v>510</v>
      </c>
      <c r="V27" s="56">
        <f t="shared" si="5"/>
        <v>0.875</v>
      </c>
      <c r="W27" s="57" t="str">
        <f t="shared" si="6"/>
        <v>PARTIAL</v>
      </c>
      <c r="X27" s="58" t="s">
        <v>511</v>
      </c>
      <c r="Y27" s="59">
        <v>1</v>
      </c>
      <c r="Z27" s="59" t="s">
        <v>512</v>
      </c>
      <c r="AA27" s="59">
        <v>0.5</v>
      </c>
      <c r="AB27" s="59" t="s">
        <v>513</v>
      </c>
      <c r="AC27" s="59">
        <v>1</v>
      </c>
      <c r="AD27" s="59" t="s">
        <v>514</v>
      </c>
      <c r="AE27" s="59">
        <v>1</v>
      </c>
      <c r="AF27" s="48">
        <f t="shared" si="16"/>
        <v>0.875</v>
      </c>
      <c r="AG27" s="50" t="str">
        <f t="shared" si="8"/>
        <v>PARTIAL</v>
      </c>
      <c r="AH27" s="59" t="s">
        <v>515</v>
      </c>
      <c r="AI27" s="59">
        <v>1</v>
      </c>
      <c r="AJ27" s="59" t="s">
        <v>516</v>
      </c>
      <c r="AK27" s="59">
        <v>1</v>
      </c>
      <c r="AL27" s="59" t="s">
        <v>517</v>
      </c>
      <c r="AM27" s="59">
        <v>0.5</v>
      </c>
      <c r="AN27" s="59" t="s">
        <v>518</v>
      </c>
      <c r="AO27" s="59">
        <v>0.5</v>
      </c>
      <c r="AP27" s="48">
        <f t="shared" si="9"/>
        <v>0.75</v>
      </c>
      <c r="AQ27" s="51" t="str">
        <f t="shared" si="10"/>
        <v>PARTIAL</v>
      </c>
      <c r="AR27" s="58" t="s">
        <v>519</v>
      </c>
      <c r="AS27" s="59">
        <v>0.5</v>
      </c>
      <c r="AT27" s="59" t="s">
        <v>520</v>
      </c>
      <c r="AU27" s="59">
        <v>1</v>
      </c>
      <c r="AV27" s="59" t="s">
        <v>521</v>
      </c>
      <c r="AW27" s="60">
        <v>0.5</v>
      </c>
      <c r="AX27" s="52">
        <f t="shared" si="11"/>
        <v>0.66666666666666663</v>
      </c>
      <c r="AY27" s="57" t="str">
        <f t="shared" si="12"/>
        <v>PARTIAL</v>
      </c>
      <c r="BA27" s="80">
        <f t="shared" si="15"/>
        <v>0.8</v>
      </c>
      <c r="BC27" s="81">
        <f t="shared" si="13"/>
        <v>0.66666666666666663</v>
      </c>
      <c r="BD27" s="82" t="str">
        <f t="shared" si="14"/>
        <v>PF</v>
      </c>
    </row>
    <row r="28" spans="1:56" ht="172.2" customHeight="1" thickBot="1" x14ac:dyDescent="0.3">
      <c r="A28" s="15">
        <v>25</v>
      </c>
      <c r="B28" s="20" t="s">
        <v>98</v>
      </c>
      <c r="C28" s="7" t="s">
        <v>99</v>
      </c>
      <c r="D28" s="38">
        <v>2025</v>
      </c>
      <c r="E28" s="54" t="s">
        <v>85</v>
      </c>
      <c r="F28" s="20">
        <v>1</v>
      </c>
      <c r="G28" s="7" t="s">
        <v>334</v>
      </c>
      <c r="H28" s="7">
        <v>1</v>
      </c>
      <c r="I28" s="7" t="s">
        <v>333</v>
      </c>
      <c r="J28" s="7">
        <v>1</v>
      </c>
      <c r="K28" s="7" t="s">
        <v>332</v>
      </c>
      <c r="L28" s="56">
        <f t="shared" si="3"/>
        <v>1</v>
      </c>
      <c r="M28" s="49" t="str">
        <f t="shared" si="4"/>
        <v>FULL</v>
      </c>
      <c r="N28" s="58">
        <v>1</v>
      </c>
      <c r="O28" s="59" t="s">
        <v>522</v>
      </c>
      <c r="P28" s="59">
        <v>0.5</v>
      </c>
      <c r="Q28" s="59" t="s">
        <v>523</v>
      </c>
      <c r="R28" s="59">
        <v>1</v>
      </c>
      <c r="S28" s="59" t="s">
        <v>524</v>
      </c>
      <c r="T28" s="59">
        <v>1</v>
      </c>
      <c r="U28" s="59" t="s">
        <v>525</v>
      </c>
      <c r="V28" s="56">
        <f t="shared" si="5"/>
        <v>0.875</v>
      </c>
      <c r="W28" s="57" t="str">
        <f t="shared" si="6"/>
        <v>PARTIAL</v>
      </c>
      <c r="X28" s="58" t="s">
        <v>526</v>
      </c>
      <c r="Y28" s="59">
        <v>1</v>
      </c>
      <c r="Z28" s="59" t="s">
        <v>527</v>
      </c>
      <c r="AA28" s="59">
        <v>0.5</v>
      </c>
      <c r="AB28" s="59" t="s">
        <v>528</v>
      </c>
      <c r="AC28" s="59">
        <v>0.5</v>
      </c>
      <c r="AD28" s="59" t="s">
        <v>529</v>
      </c>
      <c r="AE28" s="59">
        <v>1</v>
      </c>
      <c r="AF28" s="48">
        <f t="shared" si="16"/>
        <v>0.75</v>
      </c>
      <c r="AG28" s="50" t="str">
        <f t="shared" si="8"/>
        <v>PARTIAL</v>
      </c>
      <c r="AH28" s="59" t="s">
        <v>530</v>
      </c>
      <c r="AI28" s="59">
        <v>1</v>
      </c>
      <c r="AJ28" s="59" t="s">
        <v>531</v>
      </c>
      <c r="AK28" s="59">
        <v>1</v>
      </c>
      <c r="AL28" s="59" t="s">
        <v>532</v>
      </c>
      <c r="AM28" s="59">
        <v>0.5</v>
      </c>
      <c r="AN28" s="59" t="s">
        <v>533</v>
      </c>
      <c r="AO28" s="59">
        <v>0.5</v>
      </c>
      <c r="AP28" s="48">
        <f t="shared" si="9"/>
        <v>0.75</v>
      </c>
      <c r="AQ28" s="51" t="str">
        <f t="shared" si="10"/>
        <v>PARTIAL</v>
      </c>
      <c r="AR28" s="58" t="s">
        <v>534</v>
      </c>
      <c r="AS28" s="59">
        <v>1</v>
      </c>
      <c r="AT28" s="59" t="s">
        <v>535</v>
      </c>
      <c r="AU28" s="59">
        <v>1</v>
      </c>
      <c r="AV28" s="59" t="s">
        <v>343</v>
      </c>
      <c r="AW28" s="60">
        <v>0.5</v>
      </c>
      <c r="AX28" s="52">
        <f t="shared" si="11"/>
        <v>0.83333333333333337</v>
      </c>
      <c r="AY28" s="57" t="str">
        <f t="shared" si="12"/>
        <v>PARTIAL</v>
      </c>
      <c r="BA28" s="80">
        <f t="shared" ref="BA28:BA35" si="17">AVERAGE(AX28,AP28,AF28,V28,L28)</f>
        <v>0.84166666666666679</v>
      </c>
      <c r="BC28" s="81">
        <f t="shared" si="13"/>
        <v>0.75</v>
      </c>
      <c r="BD28" s="82" t="str">
        <f t="shared" si="14"/>
        <v>FF</v>
      </c>
    </row>
    <row r="29" spans="1:56" ht="132.6" thickBot="1" x14ac:dyDescent="0.3">
      <c r="A29" s="15">
        <v>26</v>
      </c>
      <c r="B29" s="20" t="s">
        <v>100</v>
      </c>
      <c r="C29" s="7" t="s">
        <v>101</v>
      </c>
      <c r="D29" s="38">
        <v>2025</v>
      </c>
      <c r="E29" s="54" t="s">
        <v>85</v>
      </c>
      <c r="F29" s="20">
        <v>1</v>
      </c>
      <c r="G29" s="7" t="s">
        <v>536</v>
      </c>
      <c r="H29" s="7">
        <v>0.5</v>
      </c>
      <c r="I29" s="7" t="s">
        <v>537</v>
      </c>
      <c r="J29" s="7">
        <v>1</v>
      </c>
      <c r="K29" s="7" t="s">
        <v>538</v>
      </c>
      <c r="L29" s="56">
        <f t="shared" si="3"/>
        <v>0.83333333333333337</v>
      </c>
      <c r="M29" s="49" t="str">
        <f t="shared" si="4"/>
        <v>PARTIAL</v>
      </c>
      <c r="N29" s="58">
        <v>1</v>
      </c>
      <c r="O29" s="59" t="s">
        <v>338</v>
      </c>
      <c r="P29" s="59">
        <v>1</v>
      </c>
      <c r="Q29" s="59" t="s">
        <v>339</v>
      </c>
      <c r="R29" s="59">
        <v>0.5</v>
      </c>
      <c r="S29" s="59" t="s">
        <v>340</v>
      </c>
      <c r="T29" s="59">
        <v>0.5</v>
      </c>
      <c r="U29" s="59" t="s">
        <v>341</v>
      </c>
      <c r="V29" s="56">
        <f t="shared" si="5"/>
        <v>0.75</v>
      </c>
      <c r="W29" s="57" t="str">
        <f t="shared" si="6"/>
        <v>PARTIAL</v>
      </c>
      <c r="X29" s="58" t="s">
        <v>539</v>
      </c>
      <c r="Y29" s="59">
        <v>1</v>
      </c>
      <c r="Z29" s="59" t="s">
        <v>540</v>
      </c>
      <c r="AA29" s="59">
        <v>0.5</v>
      </c>
      <c r="AB29" s="59" t="s">
        <v>541</v>
      </c>
      <c r="AC29" s="59">
        <v>0.5</v>
      </c>
      <c r="AD29" s="59" t="s">
        <v>542</v>
      </c>
      <c r="AE29" s="59">
        <v>1</v>
      </c>
      <c r="AF29" s="48">
        <f t="shared" si="16"/>
        <v>0.75</v>
      </c>
      <c r="AG29" s="50" t="str">
        <f t="shared" si="8"/>
        <v>PARTIAL</v>
      </c>
      <c r="AH29" s="59" t="s">
        <v>543</v>
      </c>
      <c r="AI29" s="59">
        <v>0.5</v>
      </c>
      <c r="AJ29" s="59" t="s">
        <v>544</v>
      </c>
      <c r="AK29" s="59">
        <v>0.5</v>
      </c>
      <c r="AL29" s="59" t="s">
        <v>545</v>
      </c>
      <c r="AM29" s="59">
        <v>0.5</v>
      </c>
      <c r="AN29" s="59" t="s">
        <v>546</v>
      </c>
      <c r="AO29" s="59">
        <v>0.5</v>
      </c>
      <c r="AP29" s="48">
        <f t="shared" si="9"/>
        <v>0.5</v>
      </c>
      <c r="AQ29" s="51" t="str">
        <f t="shared" si="10"/>
        <v>PARTIAL</v>
      </c>
      <c r="AR29" s="58" t="s">
        <v>547</v>
      </c>
      <c r="AS29" s="59">
        <v>1</v>
      </c>
      <c r="AT29" s="59" t="s">
        <v>548</v>
      </c>
      <c r="AU29" s="59">
        <v>1</v>
      </c>
      <c r="AV29" s="59" t="s">
        <v>549</v>
      </c>
      <c r="AW29" s="60">
        <v>1</v>
      </c>
      <c r="AX29" s="52">
        <f t="shared" si="11"/>
        <v>1</v>
      </c>
      <c r="AY29" s="57" t="str">
        <f t="shared" si="12"/>
        <v>FULL</v>
      </c>
      <c r="BA29" s="80">
        <f t="shared" si="17"/>
        <v>0.76666666666666672</v>
      </c>
      <c r="BC29" s="81">
        <f t="shared" si="13"/>
        <v>0.5</v>
      </c>
      <c r="BD29" s="82" t="str">
        <f t="shared" si="14"/>
        <v>PF</v>
      </c>
    </row>
    <row r="30" spans="1:56" ht="132.6" thickBot="1" x14ac:dyDescent="0.3">
      <c r="A30" s="15">
        <v>27</v>
      </c>
      <c r="B30" s="20" t="s">
        <v>102</v>
      </c>
      <c r="C30" s="7" t="s">
        <v>103</v>
      </c>
      <c r="D30" s="38">
        <v>2025</v>
      </c>
      <c r="E30" s="54" t="s">
        <v>85</v>
      </c>
      <c r="F30" s="20">
        <v>1</v>
      </c>
      <c r="G30" s="7" t="s">
        <v>550</v>
      </c>
      <c r="H30" s="7">
        <v>1</v>
      </c>
      <c r="I30" s="7" t="s">
        <v>551</v>
      </c>
      <c r="J30" s="7">
        <v>1</v>
      </c>
      <c r="K30" s="7" t="s">
        <v>552</v>
      </c>
      <c r="L30" s="56">
        <f t="shared" si="3"/>
        <v>1</v>
      </c>
      <c r="M30" s="49" t="str">
        <f t="shared" si="4"/>
        <v>FULL</v>
      </c>
      <c r="N30" s="58">
        <v>1</v>
      </c>
      <c r="O30" s="59" t="s">
        <v>553</v>
      </c>
      <c r="P30" s="59">
        <v>1</v>
      </c>
      <c r="Q30" s="59" t="s">
        <v>554</v>
      </c>
      <c r="R30" s="59">
        <v>0.5</v>
      </c>
      <c r="S30" s="59" t="s">
        <v>556</v>
      </c>
      <c r="T30" s="59">
        <v>1</v>
      </c>
      <c r="U30" s="59" t="s">
        <v>555</v>
      </c>
      <c r="V30" s="56">
        <f t="shared" si="5"/>
        <v>0.875</v>
      </c>
      <c r="W30" s="57" t="str">
        <f t="shared" si="6"/>
        <v>PARTIAL</v>
      </c>
      <c r="X30" s="58" t="s">
        <v>557</v>
      </c>
      <c r="Y30" s="59">
        <v>1</v>
      </c>
      <c r="Z30" s="59" t="s">
        <v>558</v>
      </c>
      <c r="AA30" s="59">
        <v>0.5</v>
      </c>
      <c r="AB30" s="59" t="s">
        <v>559</v>
      </c>
      <c r="AC30" s="59">
        <v>0.5</v>
      </c>
      <c r="AD30" s="59" t="s">
        <v>560</v>
      </c>
      <c r="AE30" s="59">
        <v>1</v>
      </c>
      <c r="AF30" s="48">
        <f t="shared" si="16"/>
        <v>0.75</v>
      </c>
      <c r="AG30" s="50" t="str">
        <f t="shared" si="8"/>
        <v>PARTIAL</v>
      </c>
      <c r="AH30" s="59" t="s">
        <v>561</v>
      </c>
      <c r="AI30" s="59">
        <v>1</v>
      </c>
      <c r="AJ30" s="59" t="s">
        <v>562</v>
      </c>
      <c r="AK30" s="59">
        <v>0.5</v>
      </c>
      <c r="AL30" s="59" t="s">
        <v>563</v>
      </c>
      <c r="AM30" s="59">
        <v>0.5</v>
      </c>
      <c r="AN30" s="59" t="s">
        <v>564</v>
      </c>
      <c r="AO30" s="59">
        <v>1</v>
      </c>
      <c r="AP30" s="48">
        <f t="shared" si="9"/>
        <v>0.75</v>
      </c>
      <c r="AQ30" s="51" t="str">
        <f t="shared" si="10"/>
        <v>PARTIAL</v>
      </c>
      <c r="AR30" s="58" t="s">
        <v>565</v>
      </c>
      <c r="AS30" s="59">
        <v>1</v>
      </c>
      <c r="AT30" s="59" t="s">
        <v>566</v>
      </c>
      <c r="AU30" s="59">
        <v>1</v>
      </c>
      <c r="AV30" s="59" t="s">
        <v>567</v>
      </c>
      <c r="AW30" s="60">
        <v>1</v>
      </c>
      <c r="AX30" s="52">
        <f t="shared" si="11"/>
        <v>1</v>
      </c>
      <c r="AY30" s="57" t="str">
        <f t="shared" si="12"/>
        <v>FULL</v>
      </c>
      <c r="BA30" s="80">
        <f t="shared" si="17"/>
        <v>0.875</v>
      </c>
      <c r="BC30" s="81">
        <f t="shared" si="13"/>
        <v>0.75</v>
      </c>
      <c r="BD30" s="82" t="str">
        <f t="shared" si="14"/>
        <v>FF</v>
      </c>
    </row>
    <row r="31" spans="1:56" ht="106.2" thickBot="1" x14ac:dyDescent="0.3">
      <c r="A31" s="15">
        <v>28</v>
      </c>
      <c r="B31" s="20" t="s">
        <v>104</v>
      </c>
      <c r="C31" s="7" t="s">
        <v>105</v>
      </c>
      <c r="D31" s="38">
        <v>2025</v>
      </c>
      <c r="E31" s="54" t="s">
        <v>54</v>
      </c>
      <c r="F31" s="20">
        <v>1</v>
      </c>
      <c r="G31" s="7" t="s">
        <v>568</v>
      </c>
      <c r="H31" s="7">
        <v>1</v>
      </c>
      <c r="I31" s="7" t="s">
        <v>569</v>
      </c>
      <c r="J31" s="7">
        <v>1</v>
      </c>
      <c r="K31" s="7" t="s">
        <v>570</v>
      </c>
      <c r="L31" s="56">
        <f t="shared" si="3"/>
        <v>1</v>
      </c>
      <c r="M31" s="49" t="str">
        <f t="shared" si="4"/>
        <v>FULL</v>
      </c>
      <c r="N31" s="58">
        <v>1</v>
      </c>
      <c r="O31" s="59" t="s">
        <v>571</v>
      </c>
      <c r="P31" s="59">
        <v>0.5</v>
      </c>
      <c r="Q31" s="59" t="s">
        <v>572</v>
      </c>
      <c r="R31" s="59">
        <v>1</v>
      </c>
      <c r="S31" s="59" t="s">
        <v>573</v>
      </c>
      <c r="T31" s="59">
        <v>1</v>
      </c>
      <c r="U31" s="59" t="s">
        <v>574</v>
      </c>
      <c r="V31" s="56">
        <f t="shared" si="5"/>
        <v>0.875</v>
      </c>
      <c r="W31" s="57" t="str">
        <f t="shared" si="6"/>
        <v>PARTIAL</v>
      </c>
      <c r="X31" s="58" t="s">
        <v>575</v>
      </c>
      <c r="Y31" s="59">
        <v>0.5</v>
      </c>
      <c r="Z31" s="59" t="s">
        <v>576</v>
      </c>
      <c r="AA31" s="59">
        <v>0.5</v>
      </c>
      <c r="AB31" s="59" t="s">
        <v>577</v>
      </c>
      <c r="AC31" s="59">
        <v>0.5</v>
      </c>
      <c r="AD31" s="59" t="s">
        <v>578</v>
      </c>
      <c r="AE31" s="59">
        <v>1</v>
      </c>
      <c r="AF31" s="48">
        <f t="shared" si="16"/>
        <v>0.625</v>
      </c>
      <c r="AG31" s="50" t="str">
        <f t="shared" si="8"/>
        <v>PARTIAL</v>
      </c>
      <c r="AH31" s="59" t="s">
        <v>580</v>
      </c>
      <c r="AI31" s="59">
        <v>1</v>
      </c>
      <c r="AJ31" s="59" t="s">
        <v>579</v>
      </c>
      <c r="AK31" s="59">
        <v>1</v>
      </c>
      <c r="AL31" s="59" t="s">
        <v>581</v>
      </c>
      <c r="AM31" s="59">
        <v>0.5</v>
      </c>
      <c r="AN31" s="59" t="s">
        <v>582</v>
      </c>
      <c r="AO31" s="59">
        <v>0.5</v>
      </c>
      <c r="AP31" s="48">
        <f t="shared" si="9"/>
        <v>0.75</v>
      </c>
      <c r="AQ31" s="51" t="str">
        <f t="shared" si="10"/>
        <v>PARTIAL</v>
      </c>
      <c r="AR31" s="58" t="s">
        <v>583</v>
      </c>
      <c r="AS31" s="59">
        <v>1</v>
      </c>
      <c r="AT31" s="59" t="s">
        <v>584</v>
      </c>
      <c r="AU31" s="59">
        <v>1</v>
      </c>
      <c r="AV31" s="59" t="s">
        <v>585</v>
      </c>
      <c r="AW31" s="60">
        <v>0.5</v>
      </c>
      <c r="AX31" s="52">
        <f t="shared" si="11"/>
        <v>0.83333333333333337</v>
      </c>
      <c r="AY31" s="57" t="str">
        <f t="shared" si="12"/>
        <v>PARTIAL</v>
      </c>
      <c r="BA31" s="80">
        <f t="shared" si="17"/>
        <v>0.81666666666666676</v>
      </c>
      <c r="BC31" s="81">
        <f t="shared" si="13"/>
        <v>0.625</v>
      </c>
      <c r="BD31" s="82" t="str">
        <f t="shared" si="14"/>
        <v>PF</v>
      </c>
    </row>
    <row r="32" spans="1:56" ht="132.6" thickBot="1" x14ac:dyDescent="0.3">
      <c r="A32" s="15">
        <v>29</v>
      </c>
      <c r="B32" s="20" t="s">
        <v>106</v>
      </c>
      <c r="C32" s="7" t="s">
        <v>107</v>
      </c>
      <c r="D32" s="38">
        <v>2025</v>
      </c>
      <c r="E32" s="54" t="s">
        <v>64</v>
      </c>
      <c r="F32" s="20">
        <v>1</v>
      </c>
      <c r="G32" s="7" t="s">
        <v>588</v>
      </c>
      <c r="H32" s="7">
        <v>1</v>
      </c>
      <c r="I32" s="7" t="s">
        <v>587</v>
      </c>
      <c r="J32" s="7">
        <v>1</v>
      </c>
      <c r="K32" s="7" t="s">
        <v>586</v>
      </c>
      <c r="L32" s="56">
        <f t="shared" si="3"/>
        <v>1</v>
      </c>
      <c r="M32" s="49" t="str">
        <f t="shared" si="4"/>
        <v>FULL</v>
      </c>
      <c r="N32" s="58">
        <v>1</v>
      </c>
      <c r="O32" s="59" t="s">
        <v>589</v>
      </c>
      <c r="P32" s="59">
        <v>0.5</v>
      </c>
      <c r="Q32" s="59" t="s">
        <v>590</v>
      </c>
      <c r="R32" s="59">
        <v>1</v>
      </c>
      <c r="S32" s="59" t="s">
        <v>592</v>
      </c>
      <c r="T32" s="59">
        <v>1</v>
      </c>
      <c r="U32" s="59" t="s">
        <v>591</v>
      </c>
      <c r="V32" s="56">
        <f t="shared" si="5"/>
        <v>0.875</v>
      </c>
      <c r="W32" s="57" t="str">
        <f t="shared" si="6"/>
        <v>PARTIAL</v>
      </c>
      <c r="X32" s="58" t="s">
        <v>593</v>
      </c>
      <c r="Y32" s="59">
        <v>0.5</v>
      </c>
      <c r="Z32" s="59" t="s">
        <v>594</v>
      </c>
      <c r="AA32" s="59">
        <v>0.5</v>
      </c>
      <c r="AB32" s="59" t="s">
        <v>595</v>
      </c>
      <c r="AC32" s="59">
        <v>1</v>
      </c>
      <c r="AD32" s="59" t="s">
        <v>596</v>
      </c>
      <c r="AE32" s="59">
        <v>1</v>
      </c>
      <c r="AF32" s="48">
        <f t="shared" si="16"/>
        <v>0.75</v>
      </c>
      <c r="AG32" s="50" t="str">
        <f t="shared" si="8"/>
        <v>PARTIAL</v>
      </c>
      <c r="AH32" s="59" t="s">
        <v>597</v>
      </c>
      <c r="AI32" s="59">
        <v>1</v>
      </c>
      <c r="AJ32" s="59" t="s">
        <v>598</v>
      </c>
      <c r="AK32" s="59">
        <v>1</v>
      </c>
      <c r="AL32" s="59" t="s">
        <v>599</v>
      </c>
      <c r="AM32" s="59">
        <v>0.5</v>
      </c>
      <c r="AN32" s="59" t="s">
        <v>600</v>
      </c>
      <c r="AO32" s="59">
        <v>0</v>
      </c>
      <c r="AP32" s="48">
        <f t="shared" si="9"/>
        <v>0.625</v>
      </c>
      <c r="AQ32" s="51" t="str">
        <f t="shared" si="10"/>
        <v>PARTIAL</v>
      </c>
      <c r="AR32" s="58" t="s">
        <v>601</v>
      </c>
      <c r="AS32" s="59">
        <v>0.5</v>
      </c>
      <c r="AT32" s="59" t="s">
        <v>602</v>
      </c>
      <c r="AU32" s="59">
        <v>1</v>
      </c>
      <c r="AV32" s="59" t="s">
        <v>603</v>
      </c>
      <c r="AW32" s="60">
        <v>0.5</v>
      </c>
      <c r="AX32" s="52">
        <f t="shared" si="11"/>
        <v>0.66666666666666663</v>
      </c>
      <c r="AY32" s="57" t="str">
        <f t="shared" si="12"/>
        <v>PARTIAL</v>
      </c>
      <c r="BA32" s="80">
        <f t="shared" si="17"/>
        <v>0.78333333333333333</v>
      </c>
      <c r="BC32" s="81">
        <f t="shared" si="13"/>
        <v>0.625</v>
      </c>
      <c r="BD32" s="82" t="str">
        <f t="shared" si="14"/>
        <v>PF</v>
      </c>
    </row>
    <row r="33" spans="1:56" ht="119.4" thickBot="1" x14ac:dyDescent="0.3">
      <c r="A33" s="15">
        <v>30</v>
      </c>
      <c r="B33" s="20" t="s">
        <v>108</v>
      </c>
      <c r="C33" s="7" t="s">
        <v>109</v>
      </c>
      <c r="D33" s="38">
        <v>2025</v>
      </c>
      <c r="E33" s="54" t="s">
        <v>54</v>
      </c>
      <c r="F33" s="20">
        <v>1</v>
      </c>
      <c r="G33" s="7" t="s">
        <v>606</v>
      </c>
      <c r="H33" s="7">
        <v>1</v>
      </c>
      <c r="I33" s="7" t="s">
        <v>605</v>
      </c>
      <c r="J33" s="7">
        <v>1</v>
      </c>
      <c r="K33" s="7" t="s">
        <v>604</v>
      </c>
      <c r="L33" s="56">
        <f t="shared" si="3"/>
        <v>1</v>
      </c>
      <c r="M33" s="49" t="str">
        <f t="shared" si="4"/>
        <v>FULL</v>
      </c>
      <c r="N33" s="58">
        <v>1</v>
      </c>
      <c r="O33" s="59" t="s">
        <v>607</v>
      </c>
      <c r="P33" s="59">
        <v>0.5</v>
      </c>
      <c r="Q33" s="59" t="s">
        <v>610</v>
      </c>
      <c r="R33" s="59">
        <v>1</v>
      </c>
      <c r="S33" s="59" t="s">
        <v>608</v>
      </c>
      <c r="T33" s="59">
        <v>1</v>
      </c>
      <c r="U33" s="59" t="s">
        <v>609</v>
      </c>
      <c r="V33" s="56">
        <f t="shared" si="5"/>
        <v>0.875</v>
      </c>
      <c r="W33" s="57" t="str">
        <f t="shared" si="6"/>
        <v>PARTIAL</v>
      </c>
      <c r="X33" s="58" t="s">
        <v>611</v>
      </c>
      <c r="Y33" s="59">
        <v>0.5</v>
      </c>
      <c r="Z33" s="59" t="s">
        <v>612</v>
      </c>
      <c r="AA33" s="59">
        <v>0.5</v>
      </c>
      <c r="AB33" s="59" t="s">
        <v>613</v>
      </c>
      <c r="AC33" s="59">
        <v>1</v>
      </c>
      <c r="AD33" s="59" t="s">
        <v>614</v>
      </c>
      <c r="AE33" s="59">
        <v>0.5</v>
      </c>
      <c r="AF33" s="48">
        <f t="shared" si="16"/>
        <v>0.625</v>
      </c>
      <c r="AG33" s="50" t="str">
        <f t="shared" si="8"/>
        <v>PARTIAL</v>
      </c>
      <c r="AH33" s="59" t="s">
        <v>615</v>
      </c>
      <c r="AI33" s="59">
        <v>1</v>
      </c>
      <c r="AJ33" s="59" t="s">
        <v>616</v>
      </c>
      <c r="AK33" s="59">
        <v>1</v>
      </c>
      <c r="AL33" s="59" t="s">
        <v>617</v>
      </c>
      <c r="AM33" s="59">
        <v>0.5</v>
      </c>
      <c r="AN33" s="59" t="s">
        <v>618</v>
      </c>
      <c r="AO33" s="59">
        <v>0</v>
      </c>
      <c r="AP33" s="48">
        <f t="shared" si="9"/>
        <v>0.625</v>
      </c>
      <c r="AQ33" s="51" t="str">
        <f t="shared" si="10"/>
        <v>PARTIAL</v>
      </c>
      <c r="AR33" s="58" t="s">
        <v>619</v>
      </c>
      <c r="AS33" s="59">
        <v>0.5</v>
      </c>
      <c r="AT33" s="59" t="s">
        <v>620</v>
      </c>
      <c r="AU33" s="59">
        <v>0.5</v>
      </c>
      <c r="AV33" s="59" t="s">
        <v>621</v>
      </c>
      <c r="AW33" s="60">
        <v>1</v>
      </c>
      <c r="AX33" s="52">
        <f t="shared" si="11"/>
        <v>0.66666666666666663</v>
      </c>
      <c r="AY33" s="57" t="str">
        <f t="shared" si="12"/>
        <v>PARTIAL</v>
      </c>
      <c r="BA33" s="80">
        <f t="shared" si="17"/>
        <v>0.7583333333333333</v>
      </c>
      <c r="BC33" s="81">
        <f t="shared" si="13"/>
        <v>0.625</v>
      </c>
      <c r="BD33" s="82" t="str">
        <f t="shared" si="14"/>
        <v>PF</v>
      </c>
    </row>
    <row r="34" spans="1:56" ht="106.2" thickBot="1" x14ac:dyDescent="0.3">
      <c r="A34" s="15">
        <v>31</v>
      </c>
      <c r="B34" s="20" t="s">
        <v>110</v>
      </c>
      <c r="C34" s="7" t="s">
        <v>111</v>
      </c>
      <c r="D34" s="38">
        <v>2025</v>
      </c>
      <c r="E34" s="54" t="s">
        <v>54</v>
      </c>
      <c r="F34" s="20">
        <v>1</v>
      </c>
      <c r="G34" s="7" t="s">
        <v>622</v>
      </c>
      <c r="H34" s="7">
        <v>1</v>
      </c>
      <c r="I34" s="7" t="s">
        <v>623</v>
      </c>
      <c r="J34" s="7">
        <v>1</v>
      </c>
      <c r="K34" s="7" t="s">
        <v>624</v>
      </c>
      <c r="L34" s="56">
        <f t="shared" si="3"/>
        <v>1</v>
      </c>
      <c r="M34" s="49" t="str">
        <f t="shared" si="4"/>
        <v>FULL</v>
      </c>
      <c r="N34" s="58">
        <v>1</v>
      </c>
      <c r="O34" s="59" t="s">
        <v>625</v>
      </c>
      <c r="P34" s="59">
        <v>0.5</v>
      </c>
      <c r="Q34" s="59" t="s">
        <v>626</v>
      </c>
      <c r="R34" s="59">
        <v>1</v>
      </c>
      <c r="S34" s="59" t="s">
        <v>627</v>
      </c>
      <c r="T34" s="59">
        <v>1</v>
      </c>
      <c r="U34" s="59" t="s">
        <v>628</v>
      </c>
      <c r="V34" s="56">
        <f t="shared" si="5"/>
        <v>0.875</v>
      </c>
      <c r="W34" s="57" t="str">
        <f t="shared" si="6"/>
        <v>PARTIAL</v>
      </c>
      <c r="X34" s="58" t="s">
        <v>629</v>
      </c>
      <c r="Y34" s="59">
        <v>0.5</v>
      </c>
      <c r="Z34" s="59" t="s">
        <v>630</v>
      </c>
      <c r="AA34" s="59">
        <v>1</v>
      </c>
      <c r="AB34" s="59" t="s">
        <v>631</v>
      </c>
      <c r="AC34" s="59">
        <v>1</v>
      </c>
      <c r="AD34" s="59" t="s">
        <v>632</v>
      </c>
      <c r="AE34" s="59">
        <v>1</v>
      </c>
      <c r="AF34" s="48">
        <f t="shared" si="16"/>
        <v>0.875</v>
      </c>
      <c r="AG34" s="50" t="str">
        <f t="shared" si="8"/>
        <v>PARTIAL</v>
      </c>
      <c r="AH34" s="59" t="s">
        <v>633</v>
      </c>
      <c r="AI34" s="59">
        <v>1</v>
      </c>
      <c r="AJ34" s="59" t="s">
        <v>634</v>
      </c>
      <c r="AK34" s="59">
        <v>1</v>
      </c>
      <c r="AL34" s="59" t="s">
        <v>635</v>
      </c>
      <c r="AM34" s="59">
        <v>1</v>
      </c>
      <c r="AN34" s="59" t="s">
        <v>636</v>
      </c>
      <c r="AO34" s="59">
        <v>0.5</v>
      </c>
      <c r="AP34" s="48">
        <f t="shared" si="9"/>
        <v>0.875</v>
      </c>
      <c r="AQ34" s="51" t="str">
        <f t="shared" si="10"/>
        <v>PARTIAL</v>
      </c>
      <c r="AR34" s="58" t="s">
        <v>637</v>
      </c>
      <c r="AS34" s="59">
        <v>0.5</v>
      </c>
      <c r="AT34" s="59" t="s">
        <v>638</v>
      </c>
      <c r="AU34" s="59">
        <v>1</v>
      </c>
      <c r="AV34" s="59" t="s">
        <v>639</v>
      </c>
      <c r="AW34" s="60">
        <v>0.5</v>
      </c>
      <c r="AX34" s="52">
        <f t="shared" si="11"/>
        <v>0.66666666666666663</v>
      </c>
      <c r="AY34" s="57" t="str">
        <f t="shared" si="12"/>
        <v>PARTIAL</v>
      </c>
      <c r="BA34" s="80">
        <f t="shared" si="17"/>
        <v>0.85833333333333317</v>
      </c>
      <c r="BC34" s="81">
        <f t="shared" si="13"/>
        <v>0.66666666666666663</v>
      </c>
      <c r="BD34" s="82" t="str">
        <f t="shared" si="14"/>
        <v>PF</v>
      </c>
    </row>
    <row r="35" spans="1:56" ht="132.6" thickBot="1" x14ac:dyDescent="0.3">
      <c r="A35" s="35">
        <v>32</v>
      </c>
      <c r="B35" s="21" t="s">
        <v>112</v>
      </c>
      <c r="C35" s="22" t="s">
        <v>113</v>
      </c>
      <c r="D35" s="61">
        <v>2025</v>
      </c>
      <c r="E35" s="62" t="s">
        <v>85</v>
      </c>
      <c r="F35" s="21">
        <v>1</v>
      </c>
      <c r="G35" s="22" t="s">
        <v>640</v>
      </c>
      <c r="H35" s="22">
        <v>1</v>
      </c>
      <c r="I35" s="22" t="s">
        <v>641</v>
      </c>
      <c r="J35" s="22">
        <v>1</v>
      </c>
      <c r="K35" s="22" t="s">
        <v>642</v>
      </c>
      <c r="L35" s="63">
        <f t="shared" si="3"/>
        <v>1</v>
      </c>
      <c r="M35" s="42" t="str">
        <f t="shared" si="4"/>
        <v>FULL</v>
      </c>
      <c r="N35" s="64">
        <v>1</v>
      </c>
      <c r="O35" s="65" t="s">
        <v>694</v>
      </c>
      <c r="P35" s="65">
        <v>0.5</v>
      </c>
      <c r="Q35" s="65" t="s">
        <v>695</v>
      </c>
      <c r="R35" s="65">
        <v>1</v>
      </c>
      <c r="S35" s="65" t="s">
        <v>696</v>
      </c>
      <c r="T35" s="65">
        <v>1</v>
      </c>
      <c r="U35" s="65" t="s">
        <v>697</v>
      </c>
      <c r="V35" s="63">
        <f t="shared" si="5"/>
        <v>0.875</v>
      </c>
      <c r="W35" s="43" t="str">
        <f t="shared" si="6"/>
        <v>PARTIAL</v>
      </c>
      <c r="X35" s="64" t="s">
        <v>698</v>
      </c>
      <c r="Y35" s="65">
        <v>1</v>
      </c>
      <c r="Z35" s="65" t="s">
        <v>699</v>
      </c>
      <c r="AA35" s="65">
        <v>1</v>
      </c>
      <c r="AB35" s="65" t="s">
        <v>700</v>
      </c>
      <c r="AC35" s="65">
        <v>1</v>
      </c>
      <c r="AD35" s="65" t="s">
        <v>701</v>
      </c>
      <c r="AE35" s="65">
        <v>1</v>
      </c>
      <c r="AF35" s="66">
        <f t="shared" si="16"/>
        <v>1</v>
      </c>
      <c r="AG35" s="67" t="str">
        <f t="shared" si="8"/>
        <v>FULL</v>
      </c>
      <c r="AH35" s="65" t="s">
        <v>702</v>
      </c>
      <c r="AI35" s="65">
        <v>1</v>
      </c>
      <c r="AJ35" s="65" t="s">
        <v>703</v>
      </c>
      <c r="AK35" s="65">
        <v>1</v>
      </c>
      <c r="AL35" s="65" t="s">
        <v>704</v>
      </c>
      <c r="AM35" s="65">
        <v>1</v>
      </c>
      <c r="AN35" s="65" t="s">
        <v>705</v>
      </c>
      <c r="AO35" s="65">
        <v>0.5</v>
      </c>
      <c r="AP35" s="66">
        <f t="shared" si="9"/>
        <v>0.875</v>
      </c>
      <c r="AQ35" s="68" t="str">
        <f t="shared" si="10"/>
        <v>PARTIAL</v>
      </c>
      <c r="AR35" s="64" t="s">
        <v>706</v>
      </c>
      <c r="AS35" s="65">
        <v>0.5</v>
      </c>
      <c r="AT35" s="65" t="s">
        <v>707</v>
      </c>
      <c r="AU35" s="65">
        <v>1</v>
      </c>
      <c r="AV35" s="65" t="s">
        <v>708</v>
      </c>
      <c r="AW35" s="69">
        <v>1</v>
      </c>
      <c r="AX35" s="70">
        <f t="shared" si="11"/>
        <v>0.83333333333333337</v>
      </c>
      <c r="AY35" s="43" t="str">
        <f t="shared" si="12"/>
        <v>PARTIAL</v>
      </c>
      <c r="BA35" s="80">
        <f t="shared" si="17"/>
        <v>0.91666666666666674</v>
      </c>
      <c r="BC35" s="81">
        <f t="shared" si="13"/>
        <v>0.83333333333333337</v>
      </c>
      <c r="BD35" s="82" t="str">
        <f t="shared" si="14"/>
        <v>FF</v>
      </c>
    </row>
    <row r="36" spans="1:56" s="23" customFormat="1" x14ac:dyDescent="0.25">
      <c r="A36" s="30"/>
      <c r="L36" s="31"/>
      <c r="M36" s="32"/>
      <c r="V36" s="33"/>
      <c r="AF36" s="33"/>
      <c r="AP36" s="31"/>
      <c r="AQ36" s="34"/>
      <c r="AX36" s="33"/>
      <c r="BA36" s="83"/>
      <c r="BB36" s="84"/>
      <c r="BC36" s="85"/>
      <c r="BD36" s="84"/>
    </row>
    <row r="37" spans="1:56" s="23" customFormat="1" x14ac:dyDescent="0.25">
      <c r="A37" s="30"/>
      <c r="L37" s="31"/>
      <c r="M37" s="32"/>
      <c r="V37" s="33"/>
      <c r="AF37" s="33"/>
      <c r="AP37" s="31"/>
      <c r="AQ37" s="34"/>
      <c r="AX37" s="33"/>
      <c r="BA37" s="83"/>
      <c r="BB37" s="84"/>
      <c r="BC37" s="85"/>
      <c r="BD37" s="84"/>
    </row>
    <row r="38" spans="1:56" s="23" customFormat="1" x14ac:dyDescent="0.25">
      <c r="A38" s="30"/>
      <c r="L38" s="31"/>
      <c r="M38" s="32"/>
      <c r="V38" s="33"/>
      <c r="AF38" s="33"/>
      <c r="AP38" s="31"/>
      <c r="AQ38" s="34"/>
      <c r="AX38" s="33"/>
      <c r="BA38" s="83"/>
      <c r="BB38" s="84"/>
      <c r="BC38" s="85"/>
      <c r="BD38" s="84"/>
    </row>
    <row r="39" spans="1:56" s="23" customFormat="1" x14ac:dyDescent="0.25">
      <c r="A39" s="30"/>
      <c r="L39" s="31"/>
      <c r="M39" s="32"/>
      <c r="V39" s="33"/>
      <c r="AF39" s="33"/>
      <c r="AP39" s="31"/>
      <c r="AQ39" s="34"/>
      <c r="AX39" s="33"/>
      <c r="BA39" s="83"/>
      <c r="BB39" s="84"/>
      <c r="BC39" s="85"/>
      <c r="BD39" s="84"/>
    </row>
    <row r="40" spans="1:56" s="23" customFormat="1" x14ac:dyDescent="0.25">
      <c r="A40" s="30"/>
      <c r="L40" s="31"/>
      <c r="M40" s="32"/>
      <c r="V40" s="33"/>
      <c r="AF40" s="33"/>
      <c r="AP40" s="31"/>
      <c r="AQ40" s="34"/>
      <c r="AX40" s="33"/>
      <c r="BA40" s="83"/>
      <c r="BB40" s="84"/>
      <c r="BC40" s="85"/>
      <c r="BD40" s="84"/>
    </row>
    <row r="41" spans="1:56" s="23" customFormat="1" x14ac:dyDescent="0.25">
      <c r="A41" s="30"/>
      <c r="L41" s="31"/>
      <c r="M41" s="32"/>
      <c r="V41" s="33"/>
      <c r="AF41" s="33"/>
      <c r="AP41" s="31"/>
      <c r="AQ41" s="34"/>
      <c r="AX41" s="33"/>
      <c r="BA41" s="83"/>
      <c r="BB41" s="84"/>
      <c r="BC41" s="85"/>
      <c r="BD41" s="84"/>
    </row>
    <row r="42" spans="1:56" s="23" customFormat="1" x14ac:dyDescent="0.25">
      <c r="A42" s="30"/>
      <c r="L42" s="31"/>
      <c r="M42" s="32"/>
      <c r="V42" s="33"/>
      <c r="AF42" s="33"/>
      <c r="AP42" s="31"/>
      <c r="AQ42" s="34"/>
      <c r="AX42" s="33"/>
      <c r="BA42" s="83"/>
      <c r="BB42" s="84"/>
      <c r="BC42" s="85"/>
      <c r="BD42" s="84"/>
    </row>
    <row r="43" spans="1:56" s="23" customFormat="1" x14ac:dyDescent="0.25">
      <c r="A43" s="30"/>
      <c r="L43" s="31"/>
      <c r="M43" s="32"/>
      <c r="V43" s="33"/>
      <c r="AF43" s="33"/>
      <c r="AP43" s="31"/>
      <c r="AQ43" s="34"/>
      <c r="AX43" s="33"/>
      <c r="BA43" s="83"/>
      <c r="BB43" s="84"/>
      <c r="BC43" s="85"/>
      <c r="BD43" s="84"/>
    </row>
    <row r="44" spans="1:56" s="23" customFormat="1" x14ac:dyDescent="0.25">
      <c r="A44" s="30"/>
      <c r="L44" s="31"/>
      <c r="M44" s="32"/>
      <c r="V44" s="33"/>
      <c r="AF44" s="33"/>
      <c r="AP44" s="31"/>
      <c r="AQ44" s="34"/>
      <c r="AX44" s="33"/>
      <c r="BA44" s="83"/>
      <c r="BB44" s="84"/>
      <c r="BC44" s="85"/>
      <c r="BD44" s="84"/>
    </row>
    <row r="45" spans="1:56" s="23" customFormat="1" x14ac:dyDescent="0.25">
      <c r="A45" s="30"/>
      <c r="L45" s="31"/>
      <c r="M45" s="32"/>
      <c r="V45" s="33"/>
      <c r="AF45" s="33"/>
      <c r="AP45" s="31"/>
      <c r="AQ45" s="34"/>
      <c r="AX45" s="33"/>
      <c r="BA45" s="83"/>
      <c r="BB45" s="84"/>
      <c r="BC45" s="85"/>
      <c r="BD45" s="84"/>
    </row>
    <row r="46" spans="1:56" s="23" customFormat="1" x14ac:dyDescent="0.25">
      <c r="A46" s="30"/>
      <c r="L46" s="31"/>
      <c r="M46" s="32"/>
      <c r="V46" s="33"/>
      <c r="AF46" s="33"/>
      <c r="AP46" s="31"/>
      <c r="AQ46" s="34"/>
      <c r="AX46" s="33"/>
      <c r="BA46" s="83"/>
      <c r="BB46" s="84"/>
      <c r="BC46" s="85"/>
      <c r="BD46" s="84"/>
    </row>
    <row r="47" spans="1:56" s="23" customFormat="1" x14ac:dyDescent="0.25">
      <c r="A47" s="30"/>
      <c r="L47" s="31"/>
      <c r="M47" s="32"/>
      <c r="V47" s="33"/>
      <c r="AF47" s="33"/>
      <c r="AP47" s="31"/>
      <c r="AQ47" s="34"/>
      <c r="AX47" s="33"/>
      <c r="BA47" s="83"/>
      <c r="BB47" s="84"/>
      <c r="BC47" s="85"/>
      <c r="BD47" s="84"/>
    </row>
    <row r="48" spans="1:56" s="23" customFormat="1" x14ac:dyDescent="0.25">
      <c r="A48" s="30"/>
      <c r="L48" s="31"/>
      <c r="M48" s="32"/>
      <c r="V48" s="33"/>
      <c r="AF48" s="33"/>
      <c r="AP48" s="31"/>
      <c r="AQ48" s="34"/>
      <c r="AX48" s="33"/>
      <c r="BA48" s="83"/>
      <c r="BB48" s="84"/>
      <c r="BC48" s="85"/>
      <c r="BD48" s="84"/>
    </row>
    <row r="49" spans="1:56" s="23" customFormat="1" x14ac:dyDescent="0.25">
      <c r="A49" s="30"/>
      <c r="L49" s="31"/>
      <c r="M49" s="32"/>
      <c r="V49" s="33"/>
      <c r="AF49" s="33"/>
      <c r="AP49" s="31"/>
      <c r="AQ49" s="34"/>
      <c r="AX49" s="33"/>
      <c r="BA49" s="83"/>
      <c r="BB49" s="84"/>
      <c r="BC49" s="85"/>
      <c r="BD49" s="84"/>
    </row>
    <row r="50" spans="1:56" s="23" customFormat="1" x14ac:dyDescent="0.25">
      <c r="A50" s="30"/>
      <c r="L50" s="31"/>
      <c r="M50" s="32"/>
      <c r="V50" s="33"/>
      <c r="AF50" s="33"/>
      <c r="AP50" s="31"/>
      <c r="AQ50" s="34"/>
      <c r="AX50" s="33"/>
      <c r="BA50" s="83"/>
      <c r="BB50" s="84"/>
      <c r="BC50" s="85"/>
      <c r="BD50" s="84"/>
    </row>
    <row r="51" spans="1:56" s="23" customFormat="1" x14ac:dyDescent="0.25">
      <c r="A51" s="30"/>
      <c r="L51" s="31"/>
      <c r="M51" s="32"/>
      <c r="V51" s="33"/>
      <c r="AF51" s="33"/>
      <c r="AP51" s="31"/>
      <c r="AQ51" s="34"/>
      <c r="AX51" s="33"/>
      <c r="BA51" s="83"/>
      <c r="BB51" s="84"/>
      <c r="BC51" s="85"/>
      <c r="BD51" s="84"/>
    </row>
    <row r="52" spans="1:56" s="23" customFormat="1" x14ac:dyDescent="0.25">
      <c r="A52" s="30"/>
      <c r="L52" s="31"/>
      <c r="M52" s="32"/>
      <c r="V52" s="33"/>
      <c r="AF52" s="33"/>
      <c r="AP52" s="31"/>
      <c r="AQ52" s="34"/>
      <c r="AX52" s="33"/>
      <c r="BA52" s="83"/>
      <c r="BB52" s="84"/>
      <c r="BC52" s="85"/>
      <c r="BD52" s="84"/>
    </row>
    <row r="53" spans="1:56" s="23" customFormat="1" x14ac:dyDescent="0.25">
      <c r="A53" s="30"/>
      <c r="L53" s="31"/>
      <c r="M53" s="32"/>
      <c r="V53" s="33"/>
      <c r="AF53" s="33"/>
      <c r="AP53" s="31"/>
      <c r="AQ53" s="34"/>
      <c r="AX53" s="33"/>
      <c r="BA53" s="83"/>
      <c r="BB53" s="84"/>
      <c r="BC53" s="85"/>
      <c r="BD53" s="84"/>
    </row>
    <row r="54" spans="1:56" s="23" customFormat="1" x14ac:dyDescent="0.25">
      <c r="A54" s="30"/>
      <c r="L54" s="31"/>
      <c r="M54" s="32"/>
      <c r="V54" s="33"/>
      <c r="AF54" s="33"/>
      <c r="AP54" s="31"/>
      <c r="AQ54" s="34"/>
      <c r="AX54" s="33"/>
      <c r="BA54" s="83"/>
      <c r="BB54" s="84"/>
      <c r="BC54" s="85"/>
      <c r="BD54" s="84"/>
    </row>
    <row r="55" spans="1:56" s="23" customFormat="1" x14ac:dyDescent="0.25">
      <c r="A55" s="30"/>
      <c r="L55" s="31"/>
      <c r="M55" s="32"/>
      <c r="V55" s="33"/>
      <c r="AF55" s="33"/>
      <c r="AP55" s="31"/>
      <c r="AQ55" s="34"/>
      <c r="AX55" s="33"/>
      <c r="BA55" s="83"/>
      <c r="BB55" s="84"/>
      <c r="BC55" s="85"/>
      <c r="BD55" s="84"/>
    </row>
    <row r="56" spans="1:56" s="23" customFormat="1" x14ac:dyDescent="0.25">
      <c r="A56" s="30"/>
      <c r="L56" s="31"/>
      <c r="M56" s="32"/>
      <c r="V56" s="33"/>
      <c r="AF56" s="33"/>
      <c r="AP56" s="31"/>
      <c r="AQ56" s="34"/>
      <c r="AX56" s="33"/>
      <c r="BA56" s="83"/>
      <c r="BB56" s="84"/>
      <c r="BC56" s="85"/>
      <c r="BD56" s="84"/>
    </row>
    <row r="57" spans="1:56" s="23" customFormat="1" x14ac:dyDescent="0.25">
      <c r="A57" s="30"/>
      <c r="L57" s="31"/>
      <c r="M57" s="32"/>
      <c r="V57" s="33"/>
      <c r="AF57" s="33"/>
      <c r="AP57" s="31"/>
      <c r="AQ57" s="34"/>
      <c r="AX57" s="33"/>
      <c r="BA57" s="83"/>
      <c r="BB57" s="84"/>
      <c r="BC57" s="85"/>
      <c r="BD57" s="84"/>
    </row>
    <row r="58" spans="1:56" s="23" customFormat="1" x14ac:dyDescent="0.25">
      <c r="A58" s="30"/>
      <c r="L58" s="31"/>
      <c r="M58" s="32"/>
      <c r="V58" s="33"/>
      <c r="AF58" s="33"/>
      <c r="AP58" s="31"/>
      <c r="AQ58" s="34"/>
      <c r="AX58" s="33"/>
      <c r="BA58" s="83"/>
      <c r="BB58" s="84"/>
      <c r="BC58" s="85"/>
      <c r="BD58" s="84"/>
    </row>
    <row r="59" spans="1:56" s="23" customFormat="1" x14ac:dyDescent="0.25">
      <c r="A59" s="30"/>
      <c r="L59" s="31"/>
      <c r="M59" s="32"/>
      <c r="V59" s="33"/>
      <c r="AF59" s="33"/>
      <c r="AP59" s="31"/>
      <c r="AQ59" s="34"/>
      <c r="AX59" s="33"/>
      <c r="BA59" s="83"/>
      <c r="BB59" s="84"/>
      <c r="BC59" s="85"/>
      <c r="BD59" s="84"/>
    </row>
    <row r="60" spans="1:56" s="23" customFormat="1" x14ac:dyDescent="0.25">
      <c r="A60" s="30"/>
      <c r="L60" s="31"/>
      <c r="M60" s="32"/>
      <c r="V60" s="33"/>
      <c r="AF60" s="33"/>
      <c r="AP60" s="31"/>
      <c r="AQ60" s="34"/>
      <c r="AX60" s="33"/>
      <c r="BA60" s="83"/>
      <c r="BB60" s="84"/>
      <c r="BC60" s="85"/>
      <c r="BD60" s="84"/>
    </row>
    <row r="61" spans="1:56" s="23" customFormat="1" x14ac:dyDescent="0.25">
      <c r="A61" s="30"/>
      <c r="L61" s="31"/>
      <c r="M61" s="32"/>
      <c r="V61" s="33"/>
      <c r="AF61" s="33"/>
      <c r="AP61" s="31"/>
      <c r="AQ61" s="34"/>
      <c r="AX61" s="33"/>
      <c r="BA61" s="83"/>
      <c r="BB61" s="84"/>
      <c r="BC61" s="85"/>
      <c r="BD61" s="84"/>
    </row>
    <row r="62" spans="1:56" s="23" customFormat="1" x14ac:dyDescent="0.25">
      <c r="A62" s="30"/>
      <c r="L62" s="31"/>
      <c r="M62" s="32"/>
      <c r="V62" s="33"/>
      <c r="AF62" s="33"/>
      <c r="AP62" s="31"/>
      <c r="AQ62" s="34"/>
      <c r="AX62" s="33"/>
      <c r="BA62" s="83"/>
      <c r="BB62" s="84"/>
      <c r="BC62" s="85"/>
      <c r="BD62" s="84"/>
    </row>
    <row r="63" spans="1:56" s="23" customFormat="1" x14ac:dyDescent="0.25">
      <c r="A63" s="30"/>
      <c r="L63" s="31"/>
      <c r="M63" s="32"/>
      <c r="V63" s="33"/>
      <c r="AF63" s="33"/>
      <c r="AP63" s="31"/>
      <c r="AQ63" s="34"/>
      <c r="AX63" s="33"/>
      <c r="BA63" s="83"/>
      <c r="BB63" s="84"/>
      <c r="BC63" s="85"/>
      <c r="BD63" s="84"/>
    </row>
    <row r="64" spans="1:56" s="23" customFormat="1" x14ac:dyDescent="0.25">
      <c r="A64" s="30"/>
      <c r="L64" s="31"/>
      <c r="M64" s="32"/>
      <c r="V64" s="33"/>
      <c r="AF64" s="33"/>
      <c r="AP64" s="31"/>
      <c r="AQ64" s="34"/>
      <c r="AX64" s="33"/>
      <c r="BA64" s="83"/>
      <c r="BB64" s="84"/>
      <c r="BC64" s="85"/>
      <c r="BD64" s="84"/>
    </row>
    <row r="65" spans="1:56" s="23" customFormat="1" x14ac:dyDescent="0.25">
      <c r="A65" s="30"/>
      <c r="L65" s="31"/>
      <c r="M65" s="32"/>
      <c r="V65" s="33"/>
      <c r="AF65" s="33"/>
      <c r="AP65" s="31"/>
      <c r="AQ65" s="34"/>
      <c r="AX65" s="33"/>
      <c r="BA65" s="83"/>
      <c r="BB65" s="84"/>
      <c r="BC65" s="85"/>
      <c r="BD65" s="84"/>
    </row>
    <row r="66" spans="1:56" s="23" customFormat="1" x14ac:dyDescent="0.25">
      <c r="A66" s="30"/>
      <c r="L66" s="31"/>
      <c r="M66" s="32"/>
      <c r="V66" s="33"/>
      <c r="AF66" s="33"/>
      <c r="AP66" s="31"/>
      <c r="AQ66" s="34"/>
      <c r="AX66" s="33"/>
      <c r="BA66" s="83"/>
      <c r="BB66" s="84"/>
      <c r="BC66" s="85"/>
      <c r="BD66" s="84"/>
    </row>
    <row r="67" spans="1:56" s="23" customFormat="1" x14ac:dyDescent="0.25">
      <c r="A67" s="30"/>
      <c r="L67" s="31"/>
      <c r="M67" s="32"/>
      <c r="V67" s="33"/>
      <c r="AF67" s="33"/>
      <c r="AP67" s="31"/>
      <c r="AQ67" s="34"/>
      <c r="AX67" s="33"/>
      <c r="BA67" s="83"/>
      <c r="BB67" s="84"/>
      <c r="BC67" s="85"/>
      <c r="BD67" s="84"/>
    </row>
    <row r="68" spans="1:56" s="23" customFormat="1" x14ac:dyDescent="0.25">
      <c r="A68" s="30"/>
      <c r="L68" s="31"/>
      <c r="M68" s="32"/>
      <c r="V68" s="33"/>
      <c r="AF68" s="33"/>
      <c r="AP68" s="31"/>
      <c r="AQ68" s="34"/>
      <c r="AX68" s="33"/>
      <c r="BA68" s="83"/>
      <c r="BB68" s="84"/>
      <c r="BC68" s="85"/>
      <c r="BD68" s="84"/>
    </row>
    <row r="69" spans="1:56" s="23" customFormat="1" x14ac:dyDescent="0.25">
      <c r="A69" s="30"/>
      <c r="L69" s="31"/>
      <c r="M69" s="32"/>
      <c r="V69" s="33"/>
      <c r="AF69" s="33"/>
      <c r="AP69" s="31"/>
      <c r="AQ69" s="34"/>
      <c r="AX69" s="33"/>
      <c r="BA69" s="83"/>
      <c r="BB69" s="84"/>
      <c r="BC69" s="85"/>
      <c r="BD69" s="84"/>
    </row>
    <row r="70" spans="1:56" s="23" customFormat="1" x14ac:dyDescent="0.25">
      <c r="A70" s="30"/>
      <c r="L70" s="31"/>
      <c r="M70" s="32"/>
      <c r="V70" s="33"/>
      <c r="AF70" s="33"/>
      <c r="AP70" s="31"/>
      <c r="AQ70" s="34"/>
      <c r="AX70" s="33"/>
      <c r="BA70" s="83"/>
      <c r="BB70" s="84"/>
      <c r="BC70" s="85"/>
      <c r="BD70" s="84"/>
    </row>
    <row r="71" spans="1:56" s="23" customFormat="1" x14ac:dyDescent="0.25">
      <c r="A71" s="30"/>
      <c r="L71" s="31"/>
      <c r="M71" s="32"/>
      <c r="V71" s="33"/>
      <c r="AF71" s="33"/>
      <c r="AP71" s="31"/>
      <c r="AQ71" s="34"/>
      <c r="AX71" s="33"/>
      <c r="BA71" s="83"/>
      <c r="BB71" s="84"/>
      <c r="BC71" s="85"/>
      <c r="BD71" s="84"/>
    </row>
    <row r="72" spans="1:56" s="23" customFormat="1" x14ac:dyDescent="0.25">
      <c r="A72" s="30"/>
      <c r="L72" s="31"/>
      <c r="M72" s="32"/>
      <c r="V72" s="33"/>
      <c r="AF72" s="33"/>
      <c r="AP72" s="31"/>
      <c r="AQ72" s="34"/>
      <c r="AX72" s="33"/>
      <c r="BA72" s="83"/>
      <c r="BB72" s="84"/>
      <c r="BC72" s="85"/>
      <c r="BD72" s="84"/>
    </row>
    <row r="73" spans="1:56" s="23" customFormat="1" x14ac:dyDescent="0.25">
      <c r="A73" s="30"/>
      <c r="L73" s="31"/>
      <c r="M73" s="32"/>
      <c r="V73" s="33"/>
      <c r="AF73" s="33"/>
      <c r="AP73" s="31"/>
      <c r="AQ73" s="34"/>
      <c r="AX73" s="33"/>
      <c r="BA73" s="83"/>
      <c r="BB73" s="84"/>
      <c r="BC73" s="85"/>
      <c r="BD73" s="84"/>
    </row>
    <row r="74" spans="1:56" s="23" customFormat="1" x14ac:dyDescent="0.25">
      <c r="A74" s="30"/>
      <c r="L74" s="31"/>
      <c r="M74" s="32"/>
      <c r="V74" s="33"/>
      <c r="AF74" s="33"/>
      <c r="AP74" s="31"/>
      <c r="AQ74" s="34"/>
      <c r="AX74" s="33"/>
      <c r="BA74" s="83"/>
      <c r="BB74" s="84"/>
      <c r="BC74" s="85"/>
      <c r="BD74" s="84"/>
    </row>
    <row r="75" spans="1:56" s="23" customFormat="1" x14ac:dyDescent="0.25">
      <c r="A75" s="30"/>
      <c r="L75" s="31"/>
      <c r="M75" s="32"/>
      <c r="V75" s="33"/>
      <c r="AF75" s="33"/>
      <c r="AP75" s="31"/>
      <c r="AQ75" s="34"/>
      <c r="AX75" s="33"/>
      <c r="BA75" s="83"/>
      <c r="BB75" s="84"/>
      <c r="BC75" s="85"/>
      <c r="BD75" s="84"/>
    </row>
    <row r="76" spans="1:56" s="23" customFormat="1" x14ac:dyDescent="0.25">
      <c r="A76" s="30"/>
      <c r="L76" s="31"/>
      <c r="M76" s="32"/>
      <c r="V76" s="33"/>
      <c r="AF76" s="33"/>
      <c r="AP76" s="31"/>
      <c r="AQ76" s="34"/>
      <c r="AX76" s="33"/>
      <c r="BA76" s="83"/>
      <c r="BB76" s="84"/>
      <c r="BC76" s="85"/>
      <c r="BD76" s="84"/>
    </row>
    <row r="77" spans="1:56" s="23" customFormat="1" x14ac:dyDescent="0.25">
      <c r="A77" s="30"/>
      <c r="L77" s="31"/>
      <c r="M77" s="32"/>
      <c r="V77" s="33"/>
      <c r="AF77" s="33"/>
      <c r="AP77" s="31"/>
      <c r="AQ77" s="34"/>
      <c r="AX77" s="33"/>
      <c r="BA77" s="83"/>
      <c r="BB77" s="84"/>
      <c r="BC77" s="85"/>
      <c r="BD77" s="84"/>
    </row>
    <row r="78" spans="1:56" s="23" customFormat="1" x14ac:dyDescent="0.25">
      <c r="A78" s="30"/>
      <c r="L78" s="31"/>
      <c r="M78" s="32"/>
      <c r="V78" s="33"/>
      <c r="AF78" s="33"/>
      <c r="AP78" s="31"/>
      <c r="AQ78" s="34"/>
      <c r="AX78" s="33"/>
      <c r="BA78" s="83"/>
      <c r="BB78" s="84"/>
      <c r="BC78" s="85"/>
      <c r="BD78" s="84"/>
    </row>
    <row r="79" spans="1:56" s="23" customFormat="1" x14ac:dyDescent="0.25">
      <c r="A79" s="30"/>
      <c r="L79" s="31"/>
      <c r="M79" s="32"/>
      <c r="V79" s="33"/>
      <c r="AF79" s="33"/>
      <c r="AP79" s="31"/>
      <c r="AQ79" s="34"/>
      <c r="AX79" s="33"/>
      <c r="BA79" s="83"/>
      <c r="BB79" s="84"/>
      <c r="BC79" s="85"/>
      <c r="BD79" s="84"/>
    </row>
    <row r="80" spans="1:56" s="23" customFormat="1" x14ac:dyDescent="0.25">
      <c r="A80" s="30"/>
      <c r="L80" s="31"/>
      <c r="M80" s="32"/>
      <c r="V80" s="33"/>
      <c r="AF80" s="33"/>
      <c r="AP80" s="31"/>
      <c r="AQ80" s="34"/>
      <c r="AX80" s="33"/>
      <c r="BA80" s="83"/>
      <c r="BB80" s="84"/>
      <c r="BC80" s="85"/>
      <c r="BD80" s="84"/>
    </row>
    <row r="81" spans="1:56" s="23" customFormat="1" x14ac:dyDescent="0.25">
      <c r="A81" s="30"/>
      <c r="L81" s="31"/>
      <c r="M81" s="32"/>
      <c r="V81" s="33"/>
      <c r="AF81" s="33"/>
      <c r="AP81" s="31"/>
      <c r="AQ81" s="34"/>
      <c r="AX81" s="33"/>
      <c r="BA81" s="83"/>
      <c r="BB81" s="84"/>
      <c r="BC81" s="85"/>
      <c r="BD81" s="84"/>
    </row>
    <row r="82" spans="1:56" s="23" customFormat="1" x14ac:dyDescent="0.25">
      <c r="A82" s="30"/>
      <c r="L82" s="31"/>
      <c r="M82" s="32"/>
      <c r="V82" s="33"/>
      <c r="AF82" s="33"/>
      <c r="AP82" s="31"/>
      <c r="AQ82" s="34"/>
      <c r="AX82" s="33"/>
      <c r="BA82" s="83"/>
      <c r="BB82" s="84"/>
      <c r="BC82" s="85"/>
      <c r="BD82" s="84"/>
    </row>
    <row r="83" spans="1:56" s="23" customFormat="1" x14ac:dyDescent="0.25">
      <c r="A83" s="30"/>
      <c r="L83" s="31"/>
      <c r="M83" s="32"/>
      <c r="V83" s="33"/>
      <c r="AF83" s="33"/>
      <c r="AP83" s="31"/>
      <c r="AQ83" s="34"/>
      <c r="AX83" s="33"/>
      <c r="BA83" s="83"/>
      <c r="BB83" s="84"/>
      <c r="BC83" s="85"/>
      <c r="BD83" s="84"/>
    </row>
    <row r="84" spans="1:56" s="23" customFormat="1" x14ac:dyDescent="0.25">
      <c r="A84" s="30"/>
      <c r="L84" s="31"/>
      <c r="M84" s="32"/>
      <c r="V84" s="33"/>
      <c r="AF84" s="33"/>
      <c r="AP84" s="31"/>
      <c r="AQ84" s="34"/>
      <c r="AX84" s="33"/>
      <c r="BA84" s="83"/>
      <c r="BB84" s="84"/>
      <c r="BC84" s="85"/>
      <c r="BD84" s="84"/>
    </row>
    <row r="85" spans="1:56" s="23" customFormat="1" x14ac:dyDescent="0.25">
      <c r="A85" s="30"/>
      <c r="L85" s="31"/>
      <c r="M85" s="32"/>
      <c r="V85" s="33"/>
      <c r="AF85" s="33"/>
      <c r="AP85" s="31"/>
      <c r="AQ85" s="34"/>
      <c r="AX85" s="33"/>
      <c r="BA85" s="83"/>
      <c r="BB85" s="84"/>
      <c r="BC85" s="85"/>
      <c r="BD85" s="84"/>
    </row>
    <row r="86" spans="1:56" s="23" customFormat="1" x14ac:dyDescent="0.25">
      <c r="A86" s="30"/>
      <c r="L86" s="31"/>
      <c r="M86" s="32"/>
      <c r="V86" s="33"/>
      <c r="AF86" s="33"/>
      <c r="AP86" s="31"/>
      <c r="AQ86" s="34"/>
      <c r="AX86" s="33"/>
      <c r="BA86" s="83"/>
      <c r="BB86" s="84"/>
      <c r="BC86" s="85"/>
      <c r="BD86" s="84"/>
    </row>
    <row r="87" spans="1:56" s="23" customFormat="1" x14ac:dyDescent="0.25">
      <c r="A87" s="30"/>
      <c r="L87" s="31"/>
      <c r="M87" s="32"/>
      <c r="V87" s="33"/>
      <c r="AF87" s="33"/>
      <c r="AP87" s="31"/>
      <c r="AQ87" s="34"/>
      <c r="AX87" s="33"/>
      <c r="BA87" s="83"/>
      <c r="BB87" s="84"/>
      <c r="BC87" s="85"/>
      <c r="BD87" s="84"/>
    </row>
    <row r="88" spans="1:56" s="23" customFormat="1" x14ac:dyDescent="0.25">
      <c r="A88" s="30"/>
      <c r="L88" s="31"/>
      <c r="M88" s="32"/>
      <c r="V88" s="33"/>
      <c r="AF88" s="33"/>
      <c r="AP88" s="31"/>
      <c r="AQ88" s="34"/>
      <c r="AX88" s="33"/>
      <c r="BA88" s="83"/>
      <c r="BB88" s="84"/>
      <c r="BC88" s="85"/>
      <c r="BD88" s="84"/>
    </row>
    <row r="89" spans="1:56" s="23" customFormat="1" x14ac:dyDescent="0.25">
      <c r="A89" s="30"/>
      <c r="L89" s="31"/>
      <c r="M89" s="32"/>
      <c r="V89" s="33"/>
      <c r="AF89" s="33"/>
      <c r="AP89" s="31"/>
      <c r="AQ89" s="34"/>
      <c r="AX89" s="33"/>
      <c r="BA89" s="83"/>
      <c r="BB89" s="84"/>
      <c r="BC89" s="85"/>
      <c r="BD89" s="84"/>
    </row>
    <row r="90" spans="1:56" s="23" customFormat="1" x14ac:dyDescent="0.25">
      <c r="A90" s="30"/>
      <c r="L90" s="31"/>
      <c r="M90" s="32"/>
      <c r="V90" s="33"/>
      <c r="AF90" s="33"/>
      <c r="AP90" s="31"/>
      <c r="AQ90" s="34"/>
      <c r="AX90" s="33"/>
      <c r="BA90" s="83"/>
      <c r="BB90" s="84"/>
      <c r="BC90" s="85"/>
      <c r="BD90" s="84"/>
    </row>
    <row r="91" spans="1:56" s="23" customFormat="1" x14ac:dyDescent="0.25">
      <c r="A91" s="30"/>
      <c r="L91" s="31"/>
      <c r="M91" s="32"/>
      <c r="V91" s="33"/>
      <c r="AF91" s="33"/>
      <c r="AP91" s="31"/>
      <c r="AQ91" s="34"/>
      <c r="AX91" s="33"/>
      <c r="BA91" s="83"/>
      <c r="BB91" s="84"/>
      <c r="BC91" s="85"/>
      <c r="BD91" s="84"/>
    </row>
    <row r="92" spans="1:56" s="23" customFormat="1" x14ac:dyDescent="0.25">
      <c r="A92" s="30"/>
      <c r="L92" s="31"/>
      <c r="M92" s="32"/>
      <c r="V92" s="33"/>
      <c r="AF92" s="33"/>
      <c r="AP92" s="31"/>
      <c r="AQ92" s="34"/>
      <c r="AX92" s="33"/>
      <c r="BA92" s="83"/>
      <c r="BB92" s="84"/>
      <c r="BC92" s="85"/>
      <c r="BD92" s="84"/>
    </row>
    <row r="93" spans="1:56" s="23" customFormat="1" x14ac:dyDescent="0.25">
      <c r="A93" s="30"/>
      <c r="L93" s="31"/>
      <c r="M93" s="32"/>
      <c r="V93" s="33"/>
      <c r="AF93" s="33"/>
      <c r="AP93" s="31"/>
      <c r="AQ93" s="34"/>
      <c r="AX93" s="33"/>
      <c r="BA93" s="83"/>
      <c r="BB93" s="84"/>
      <c r="BC93" s="85"/>
      <c r="BD93" s="84"/>
    </row>
    <row r="94" spans="1:56" s="23" customFormat="1" x14ac:dyDescent="0.25">
      <c r="A94" s="30"/>
      <c r="L94" s="31"/>
      <c r="M94" s="32"/>
      <c r="V94" s="33"/>
      <c r="AF94" s="33"/>
      <c r="AP94" s="31"/>
      <c r="AQ94" s="34"/>
      <c r="AX94" s="33"/>
      <c r="BA94" s="83"/>
      <c r="BB94" s="84"/>
      <c r="BC94" s="85"/>
      <c r="BD94" s="84"/>
    </row>
    <row r="95" spans="1:56" s="23" customFormat="1" x14ac:dyDescent="0.25">
      <c r="A95" s="30"/>
      <c r="L95" s="31"/>
      <c r="M95" s="32"/>
      <c r="V95" s="33"/>
      <c r="AF95" s="33"/>
      <c r="AP95" s="31"/>
      <c r="AQ95" s="34"/>
      <c r="AX95" s="33"/>
      <c r="BA95" s="83"/>
      <c r="BB95" s="84"/>
      <c r="BC95" s="85"/>
      <c r="BD95" s="84"/>
    </row>
    <row r="96" spans="1:56" s="23" customFormat="1" x14ac:dyDescent="0.25">
      <c r="A96" s="30"/>
      <c r="L96" s="31"/>
      <c r="M96" s="32"/>
      <c r="V96" s="33"/>
      <c r="AF96" s="33"/>
      <c r="AP96" s="31"/>
      <c r="AQ96" s="34"/>
      <c r="AX96" s="33"/>
      <c r="BA96" s="83"/>
      <c r="BB96" s="84"/>
      <c r="BC96" s="85"/>
      <c r="BD96" s="84"/>
    </row>
    <row r="97" spans="1:56" s="23" customFormat="1" x14ac:dyDescent="0.25">
      <c r="A97" s="30"/>
      <c r="L97" s="31"/>
      <c r="M97" s="32"/>
      <c r="V97" s="33"/>
      <c r="AF97" s="33"/>
      <c r="AP97" s="31"/>
      <c r="AQ97" s="34"/>
      <c r="AX97" s="33"/>
      <c r="BA97" s="83"/>
      <c r="BB97" s="84"/>
      <c r="BC97" s="85"/>
      <c r="BD97" s="84"/>
    </row>
    <row r="98" spans="1:56" s="23" customFormat="1" x14ac:dyDescent="0.25">
      <c r="A98" s="30"/>
      <c r="L98" s="31"/>
      <c r="M98" s="32"/>
      <c r="V98" s="33"/>
      <c r="AF98" s="33"/>
      <c r="AP98" s="31"/>
      <c r="AQ98" s="34"/>
      <c r="AX98" s="33"/>
      <c r="BA98" s="83"/>
      <c r="BB98" s="84"/>
      <c r="BC98" s="85"/>
      <c r="BD98" s="84"/>
    </row>
    <row r="99" spans="1:56" s="23" customFormat="1" x14ac:dyDescent="0.25">
      <c r="A99" s="30"/>
      <c r="L99" s="31"/>
      <c r="M99" s="32"/>
      <c r="V99" s="33"/>
      <c r="AF99" s="33"/>
      <c r="AP99" s="31"/>
      <c r="AQ99" s="34"/>
      <c r="AX99" s="33"/>
      <c r="BA99" s="83"/>
      <c r="BB99" s="84"/>
      <c r="BC99" s="85"/>
      <c r="BD99" s="84"/>
    </row>
    <row r="100" spans="1:56" s="23" customFormat="1" x14ac:dyDescent="0.25">
      <c r="A100" s="30"/>
      <c r="L100" s="31"/>
      <c r="M100" s="32"/>
      <c r="V100" s="33"/>
      <c r="AF100" s="33"/>
      <c r="AP100" s="31"/>
      <c r="AQ100" s="34"/>
      <c r="AX100" s="33"/>
      <c r="BA100" s="83"/>
      <c r="BB100" s="84"/>
      <c r="BC100" s="85"/>
      <c r="BD100" s="84"/>
    </row>
    <row r="101" spans="1:56" s="23" customFormat="1" x14ac:dyDescent="0.25">
      <c r="A101" s="30"/>
      <c r="L101" s="31"/>
      <c r="M101" s="32"/>
      <c r="V101" s="33"/>
      <c r="AF101" s="33"/>
      <c r="AP101" s="31"/>
      <c r="AQ101" s="34"/>
      <c r="AX101" s="33"/>
      <c r="BA101" s="83"/>
      <c r="BB101" s="84"/>
      <c r="BC101" s="85"/>
      <c r="BD101" s="84"/>
    </row>
    <row r="102" spans="1:56" s="23" customFormat="1" x14ac:dyDescent="0.25">
      <c r="A102" s="30"/>
      <c r="L102" s="31"/>
      <c r="M102" s="32"/>
      <c r="V102" s="33"/>
      <c r="AF102" s="33"/>
      <c r="AP102" s="31"/>
      <c r="AQ102" s="34"/>
      <c r="AX102" s="33"/>
      <c r="BA102" s="83"/>
      <c r="BB102" s="84"/>
      <c r="BC102" s="85"/>
      <c r="BD102" s="84"/>
    </row>
    <row r="103" spans="1:56" s="23" customFormat="1" x14ac:dyDescent="0.25">
      <c r="A103" s="30"/>
      <c r="L103" s="31"/>
      <c r="M103" s="32"/>
      <c r="V103" s="33"/>
      <c r="AF103" s="33"/>
      <c r="AP103" s="31"/>
      <c r="AQ103" s="34"/>
      <c r="AX103" s="33"/>
      <c r="BA103" s="83"/>
      <c r="BB103" s="84"/>
      <c r="BC103" s="85"/>
      <c r="BD103" s="84"/>
    </row>
    <row r="104" spans="1:56" s="23" customFormat="1" x14ac:dyDescent="0.25">
      <c r="A104" s="30"/>
      <c r="L104" s="31"/>
      <c r="M104" s="32"/>
      <c r="V104" s="33"/>
      <c r="AF104" s="33"/>
      <c r="AP104" s="31"/>
      <c r="AQ104" s="34"/>
      <c r="AX104" s="33"/>
      <c r="BA104" s="83"/>
      <c r="BB104" s="84"/>
      <c r="BC104" s="85"/>
      <c r="BD104" s="84"/>
    </row>
    <row r="105" spans="1:56" s="23" customFormat="1" x14ac:dyDescent="0.25">
      <c r="A105" s="30"/>
      <c r="L105" s="31"/>
      <c r="M105" s="32"/>
      <c r="V105" s="33"/>
      <c r="AF105" s="33"/>
      <c r="AP105" s="31"/>
      <c r="AQ105" s="34"/>
      <c r="AX105" s="33"/>
      <c r="BA105" s="83"/>
      <c r="BB105" s="84"/>
      <c r="BC105" s="85"/>
      <c r="BD105" s="84"/>
    </row>
    <row r="106" spans="1:56" s="23" customFormat="1" x14ac:dyDescent="0.25">
      <c r="A106" s="30"/>
      <c r="L106" s="31"/>
      <c r="M106" s="32"/>
      <c r="V106" s="33"/>
      <c r="AF106" s="33"/>
      <c r="AP106" s="31"/>
      <c r="AQ106" s="34"/>
      <c r="AX106" s="33"/>
      <c r="BA106" s="83"/>
      <c r="BB106" s="84"/>
      <c r="BC106" s="85"/>
      <c r="BD106" s="84"/>
    </row>
    <row r="107" spans="1:56" s="23" customFormat="1" x14ac:dyDescent="0.25">
      <c r="A107" s="30"/>
      <c r="L107" s="31"/>
      <c r="M107" s="32"/>
      <c r="V107" s="33"/>
      <c r="AF107" s="33"/>
      <c r="AP107" s="31"/>
      <c r="AQ107" s="34"/>
      <c r="AX107" s="33"/>
      <c r="BA107" s="83"/>
      <c r="BB107" s="84"/>
      <c r="BC107" s="85"/>
      <c r="BD107" s="84"/>
    </row>
    <row r="108" spans="1:56" s="23" customFormat="1" x14ac:dyDescent="0.25">
      <c r="A108" s="30"/>
      <c r="L108" s="31"/>
      <c r="M108" s="32"/>
      <c r="V108" s="33"/>
      <c r="AF108" s="33"/>
      <c r="AP108" s="31"/>
      <c r="AQ108" s="34"/>
      <c r="AX108" s="33"/>
      <c r="BA108" s="83"/>
      <c r="BB108" s="84"/>
      <c r="BC108" s="85"/>
      <c r="BD108" s="84"/>
    </row>
    <row r="109" spans="1:56" s="23" customFormat="1" x14ac:dyDescent="0.25">
      <c r="A109" s="30"/>
      <c r="L109" s="31"/>
      <c r="M109" s="32"/>
      <c r="V109" s="33"/>
      <c r="AF109" s="33"/>
      <c r="AP109" s="31"/>
      <c r="AQ109" s="34"/>
      <c r="AX109" s="33"/>
      <c r="BA109" s="83"/>
      <c r="BB109" s="84"/>
      <c r="BC109" s="85"/>
      <c r="BD109" s="84"/>
    </row>
    <row r="110" spans="1:56" s="23" customFormat="1" x14ac:dyDescent="0.25">
      <c r="A110" s="30"/>
      <c r="L110" s="31"/>
      <c r="M110" s="32"/>
      <c r="V110" s="33"/>
      <c r="AF110" s="33"/>
      <c r="AP110" s="31"/>
      <c r="AQ110" s="34"/>
      <c r="AX110" s="33"/>
      <c r="BA110" s="83"/>
      <c r="BB110" s="84"/>
      <c r="BC110" s="85"/>
      <c r="BD110" s="84"/>
    </row>
    <row r="111" spans="1:56" s="23" customFormat="1" x14ac:dyDescent="0.25">
      <c r="A111" s="30"/>
      <c r="L111" s="31"/>
      <c r="M111" s="32"/>
      <c r="V111" s="33"/>
      <c r="AF111" s="33"/>
      <c r="AP111" s="31"/>
      <c r="AQ111" s="34"/>
      <c r="AX111" s="33"/>
      <c r="BA111" s="83"/>
      <c r="BB111" s="84"/>
      <c r="BC111" s="85"/>
      <c r="BD111" s="84"/>
    </row>
    <row r="112" spans="1:56" s="23" customFormat="1" x14ac:dyDescent="0.25">
      <c r="A112" s="30"/>
      <c r="L112" s="31"/>
      <c r="M112" s="32"/>
      <c r="V112" s="33"/>
      <c r="AF112" s="33"/>
      <c r="AP112" s="31"/>
      <c r="AQ112" s="34"/>
      <c r="AX112" s="33"/>
      <c r="BA112" s="83"/>
      <c r="BB112" s="84"/>
      <c r="BC112" s="85"/>
      <c r="BD112" s="84"/>
    </row>
    <row r="113" spans="1:56" s="23" customFormat="1" x14ac:dyDescent="0.25">
      <c r="A113" s="30"/>
      <c r="L113" s="31"/>
      <c r="M113" s="32"/>
      <c r="V113" s="33"/>
      <c r="AF113" s="33"/>
      <c r="AP113" s="31"/>
      <c r="AQ113" s="34"/>
      <c r="AX113" s="33"/>
      <c r="BA113" s="83"/>
      <c r="BB113" s="84"/>
      <c r="BC113" s="85"/>
      <c r="BD113" s="84"/>
    </row>
    <row r="114" spans="1:56" s="23" customFormat="1" x14ac:dyDescent="0.25">
      <c r="A114" s="30"/>
      <c r="L114" s="31"/>
      <c r="M114" s="32"/>
      <c r="V114" s="33"/>
      <c r="AF114" s="33"/>
      <c r="AP114" s="31"/>
      <c r="AQ114" s="34"/>
      <c r="AX114" s="33"/>
      <c r="BA114" s="83"/>
      <c r="BB114" s="84"/>
      <c r="BC114" s="85"/>
      <c r="BD114" s="84"/>
    </row>
    <row r="115" spans="1:56" s="23" customFormat="1" x14ac:dyDescent="0.25">
      <c r="A115" s="30"/>
      <c r="L115" s="31"/>
      <c r="M115" s="32"/>
      <c r="V115" s="33"/>
      <c r="AF115" s="33"/>
      <c r="AP115" s="31"/>
      <c r="AQ115" s="34"/>
      <c r="AX115" s="33"/>
      <c r="BA115" s="83"/>
      <c r="BB115" s="84"/>
      <c r="BC115" s="85"/>
      <c r="BD115" s="84"/>
    </row>
    <row r="116" spans="1:56" s="23" customFormat="1" x14ac:dyDescent="0.25">
      <c r="A116" s="30"/>
      <c r="L116" s="31"/>
      <c r="M116" s="32"/>
      <c r="V116" s="33"/>
      <c r="AF116" s="33"/>
      <c r="AP116" s="31"/>
      <c r="AQ116" s="34"/>
      <c r="AX116" s="33"/>
      <c r="BA116" s="83"/>
      <c r="BB116" s="84"/>
      <c r="BC116" s="85"/>
      <c r="BD116" s="84"/>
    </row>
    <row r="117" spans="1:56" s="23" customFormat="1" x14ac:dyDescent="0.25">
      <c r="A117" s="30"/>
      <c r="L117" s="31"/>
      <c r="M117" s="32"/>
      <c r="V117" s="33"/>
      <c r="AF117" s="33"/>
      <c r="AP117" s="31"/>
      <c r="AQ117" s="34"/>
      <c r="AX117" s="33"/>
      <c r="BA117" s="83"/>
      <c r="BB117" s="84"/>
      <c r="BC117" s="85"/>
      <c r="BD117" s="84"/>
    </row>
    <row r="118" spans="1:56" s="23" customFormat="1" x14ac:dyDescent="0.25">
      <c r="A118" s="30"/>
      <c r="L118" s="31"/>
      <c r="M118" s="32"/>
      <c r="V118" s="33"/>
      <c r="AF118" s="33"/>
      <c r="AP118" s="31"/>
      <c r="AQ118" s="34"/>
      <c r="AX118" s="33"/>
      <c r="BA118" s="83"/>
      <c r="BB118" s="84"/>
      <c r="BC118" s="85"/>
      <c r="BD118" s="84"/>
    </row>
    <row r="119" spans="1:56" s="23" customFormat="1" x14ac:dyDescent="0.25">
      <c r="A119" s="30"/>
      <c r="L119" s="31"/>
      <c r="M119" s="32"/>
      <c r="V119" s="33"/>
      <c r="AF119" s="33"/>
      <c r="AP119" s="31"/>
      <c r="AQ119" s="34"/>
      <c r="AX119" s="33"/>
      <c r="BA119" s="83"/>
      <c r="BB119" s="84"/>
      <c r="BC119" s="85"/>
      <c r="BD119" s="84"/>
    </row>
    <row r="120" spans="1:56" s="23" customFormat="1" x14ac:dyDescent="0.25">
      <c r="A120" s="30"/>
      <c r="L120" s="31"/>
      <c r="M120" s="32"/>
      <c r="V120" s="33"/>
      <c r="AF120" s="33"/>
      <c r="AP120" s="31"/>
      <c r="AQ120" s="34"/>
      <c r="AX120" s="33"/>
      <c r="BA120" s="83"/>
      <c r="BB120" s="84"/>
      <c r="BC120" s="85"/>
      <c r="BD120" s="84"/>
    </row>
    <row r="121" spans="1:56" s="23" customFormat="1" x14ac:dyDescent="0.25">
      <c r="A121" s="30"/>
      <c r="L121" s="31"/>
      <c r="M121" s="32"/>
      <c r="V121" s="33"/>
      <c r="AF121" s="33"/>
      <c r="AP121" s="31"/>
      <c r="AQ121" s="34"/>
      <c r="AX121" s="33"/>
      <c r="BA121" s="83"/>
      <c r="BB121" s="84"/>
      <c r="BC121" s="85"/>
      <c r="BD121" s="84"/>
    </row>
    <row r="122" spans="1:56" s="23" customFormat="1" x14ac:dyDescent="0.25">
      <c r="A122" s="30"/>
      <c r="L122" s="31"/>
      <c r="M122" s="32"/>
      <c r="V122" s="33"/>
      <c r="AF122" s="33"/>
      <c r="AP122" s="31"/>
      <c r="AQ122" s="34"/>
      <c r="AX122" s="33"/>
      <c r="BA122" s="83"/>
      <c r="BB122" s="84"/>
      <c r="BC122" s="85"/>
      <c r="BD122" s="84"/>
    </row>
    <row r="123" spans="1:56" s="23" customFormat="1" x14ac:dyDescent="0.25">
      <c r="A123" s="30"/>
      <c r="L123" s="31"/>
      <c r="M123" s="32"/>
      <c r="V123" s="33"/>
      <c r="AF123" s="33"/>
      <c r="AP123" s="31"/>
      <c r="AQ123" s="34"/>
      <c r="AX123" s="33"/>
      <c r="BA123" s="83"/>
      <c r="BB123" s="84"/>
      <c r="BC123" s="85"/>
      <c r="BD123" s="84"/>
    </row>
    <row r="124" spans="1:56" s="23" customFormat="1" x14ac:dyDescent="0.25">
      <c r="A124" s="30"/>
      <c r="L124" s="31"/>
      <c r="M124" s="32"/>
      <c r="V124" s="33"/>
      <c r="AF124" s="33"/>
      <c r="AP124" s="31"/>
      <c r="AQ124" s="34"/>
      <c r="AX124" s="33"/>
      <c r="BA124" s="83"/>
      <c r="BB124" s="84"/>
      <c r="BC124" s="85"/>
      <c r="BD124" s="84"/>
    </row>
    <row r="125" spans="1:56" s="23" customFormat="1" x14ac:dyDescent="0.25">
      <c r="A125" s="30"/>
      <c r="L125" s="31"/>
      <c r="M125" s="32"/>
      <c r="V125" s="33"/>
      <c r="AF125" s="33"/>
      <c r="AP125" s="31"/>
      <c r="AQ125" s="34"/>
      <c r="AX125" s="33"/>
      <c r="BA125" s="83"/>
      <c r="BB125" s="84"/>
      <c r="BC125" s="85"/>
      <c r="BD125" s="84"/>
    </row>
    <row r="126" spans="1:56" s="23" customFormat="1" x14ac:dyDescent="0.25">
      <c r="A126" s="30"/>
      <c r="L126" s="31"/>
      <c r="M126" s="32"/>
      <c r="V126" s="33"/>
      <c r="AF126" s="33"/>
      <c r="AP126" s="31"/>
      <c r="AQ126" s="34"/>
      <c r="AX126" s="33"/>
      <c r="BA126" s="83"/>
      <c r="BB126" s="84"/>
      <c r="BC126" s="85"/>
      <c r="BD126" s="84"/>
    </row>
    <row r="127" spans="1:56" s="23" customFormat="1" x14ac:dyDescent="0.25">
      <c r="A127" s="30"/>
      <c r="L127" s="31"/>
      <c r="M127" s="32"/>
      <c r="V127" s="33"/>
      <c r="AF127" s="33"/>
      <c r="AP127" s="31"/>
      <c r="AQ127" s="34"/>
      <c r="AX127" s="33"/>
      <c r="BA127" s="83"/>
      <c r="BB127" s="84"/>
      <c r="BC127" s="85"/>
      <c r="BD127" s="84"/>
    </row>
    <row r="128" spans="1:56" s="23" customFormat="1" x14ac:dyDescent="0.25">
      <c r="A128" s="30"/>
      <c r="L128" s="31"/>
      <c r="M128" s="32"/>
      <c r="V128" s="33"/>
      <c r="AF128" s="33"/>
      <c r="AP128" s="31"/>
      <c r="AQ128" s="34"/>
      <c r="AX128" s="33"/>
      <c r="BA128" s="83"/>
      <c r="BB128" s="84"/>
      <c r="BC128" s="85"/>
      <c r="BD128" s="84"/>
    </row>
    <row r="129" spans="1:56" s="23" customFormat="1" x14ac:dyDescent="0.25">
      <c r="A129" s="30"/>
      <c r="L129" s="31"/>
      <c r="M129" s="32"/>
      <c r="V129" s="33"/>
      <c r="AF129" s="33"/>
      <c r="AP129" s="31"/>
      <c r="AQ129" s="34"/>
      <c r="AX129" s="33"/>
      <c r="BA129" s="83"/>
      <c r="BB129" s="84"/>
      <c r="BC129" s="85"/>
      <c r="BD129" s="84"/>
    </row>
    <row r="130" spans="1:56" s="23" customFormat="1" x14ac:dyDescent="0.25">
      <c r="A130" s="30"/>
      <c r="L130" s="31"/>
      <c r="M130" s="32"/>
      <c r="V130" s="33"/>
      <c r="AF130" s="33"/>
      <c r="AP130" s="31"/>
      <c r="AQ130" s="34"/>
      <c r="AX130" s="33"/>
      <c r="BA130" s="83"/>
      <c r="BB130" s="84"/>
      <c r="BC130" s="85"/>
      <c r="BD130" s="84"/>
    </row>
    <row r="131" spans="1:56" s="23" customFormat="1" x14ac:dyDescent="0.25">
      <c r="A131" s="30"/>
      <c r="L131" s="31"/>
      <c r="M131" s="32"/>
      <c r="V131" s="33"/>
      <c r="AF131" s="33"/>
      <c r="AP131" s="31"/>
      <c r="AQ131" s="34"/>
      <c r="AX131" s="33"/>
      <c r="BA131" s="83"/>
      <c r="BB131" s="84"/>
      <c r="BC131" s="85"/>
      <c r="BD131" s="84"/>
    </row>
    <row r="132" spans="1:56" s="23" customFormat="1" x14ac:dyDescent="0.25">
      <c r="A132" s="30"/>
      <c r="L132" s="31"/>
      <c r="M132" s="32"/>
      <c r="V132" s="33"/>
      <c r="AF132" s="33"/>
      <c r="AP132" s="31"/>
      <c r="AQ132" s="34"/>
      <c r="AX132" s="33"/>
      <c r="BA132" s="83"/>
      <c r="BB132" s="84"/>
      <c r="BC132" s="85"/>
      <c r="BD132" s="84"/>
    </row>
    <row r="133" spans="1:56" s="23" customFormat="1" x14ac:dyDescent="0.25">
      <c r="A133" s="30"/>
      <c r="L133" s="31"/>
      <c r="M133" s="32"/>
      <c r="V133" s="33"/>
      <c r="AF133" s="33"/>
      <c r="AP133" s="31"/>
      <c r="AQ133" s="34"/>
      <c r="AX133" s="33"/>
      <c r="BA133" s="83"/>
      <c r="BB133" s="84"/>
      <c r="BC133" s="85"/>
      <c r="BD133" s="84"/>
    </row>
    <row r="134" spans="1:56" s="23" customFormat="1" x14ac:dyDescent="0.25">
      <c r="A134" s="30"/>
      <c r="L134" s="31"/>
      <c r="M134" s="32"/>
      <c r="V134" s="33"/>
      <c r="AF134" s="33"/>
      <c r="AP134" s="31"/>
      <c r="AQ134" s="34"/>
      <c r="AX134" s="33"/>
      <c r="BA134" s="83"/>
      <c r="BB134" s="84"/>
      <c r="BC134" s="85"/>
      <c r="BD134" s="84"/>
    </row>
    <row r="135" spans="1:56" s="23" customFormat="1" x14ac:dyDescent="0.25">
      <c r="A135" s="30"/>
      <c r="L135" s="31"/>
      <c r="M135" s="32"/>
      <c r="V135" s="33"/>
      <c r="AF135" s="33"/>
      <c r="AP135" s="31"/>
      <c r="AQ135" s="34"/>
      <c r="AX135" s="33"/>
      <c r="BA135" s="83"/>
      <c r="BB135" s="84"/>
      <c r="BC135" s="85"/>
      <c r="BD135" s="84"/>
    </row>
    <row r="136" spans="1:56" s="23" customFormat="1" x14ac:dyDescent="0.25">
      <c r="A136" s="30"/>
      <c r="L136" s="31"/>
      <c r="M136" s="32"/>
      <c r="V136" s="33"/>
      <c r="AF136" s="33"/>
      <c r="AP136" s="31"/>
      <c r="AQ136" s="34"/>
      <c r="AX136" s="33"/>
      <c r="BA136" s="83"/>
      <c r="BB136" s="84"/>
      <c r="BC136" s="85"/>
      <c r="BD136" s="84"/>
    </row>
    <row r="137" spans="1:56" s="23" customFormat="1" x14ac:dyDescent="0.25">
      <c r="A137" s="30"/>
      <c r="L137" s="31"/>
      <c r="M137" s="32"/>
      <c r="V137" s="33"/>
      <c r="AF137" s="33"/>
      <c r="AP137" s="31"/>
      <c r="AQ137" s="34"/>
      <c r="AX137" s="33"/>
      <c r="BA137" s="83"/>
      <c r="BB137" s="84"/>
      <c r="BC137" s="85"/>
      <c r="BD137" s="84"/>
    </row>
    <row r="138" spans="1:56" s="23" customFormat="1" x14ac:dyDescent="0.25">
      <c r="A138" s="30"/>
      <c r="L138" s="31"/>
      <c r="M138" s="32"/>
      <c r="V138" s="33"/>
      <c r="AF138" s="33"/>
      <c r="AP138" s="31"/>
      <c r="AQ138" s="34"/>
      <c r="AX138" s="33"/>
      <c r="BA138" s="83"/>
      <c r="BB138" s="84"/>
      <c r="BC138" s="85"/>
      <c r="BD138" s="84"/>
    </row>
    <row r="139" spans="1:56" s="23" customFormat="1" x14ac:dyDescent="0.25">
      <c r="A139" s="30"/>
      <c r="L139" s="31"/>
      <c r="M139" s="32"/>
      <c r="V139" s="33"/>
      <c r="AF139" s="33"/>
      <c r="AP139" s="31"/>
      <c r="AQ139" s="34"/>
      <c r="AX139" s="33"/>
      <c r="BA139" s="83"/>
      <c r="BB139" s="84"/>
      <c r="BC139" s="85"/>
      <c r="BD139" s="84"/>
    </row>
    <row r="140" spans="1:56" s="23" customFormat="1" x14ac:dyDescent="0.25">
      <c r="A140" s="30"/>
      <c r="L140" s="31"/>
      <c r="M140" s="32"/>
      <c r="V140" s="33"/>
      <c r="AF140" s="33"/>
      <c r="AP140" s="31"/>
      <c r="AQ140" s="34"/>
      <c r="AX140" s="33"/>
      <c r="BA140" s="83"/>
      <c r="BB140" s="84"/>
      <c r="BC140" s="85"/>
      <c r="BD140" s="84"/>
    </row>
    <row r="141" spans="1:56" s="23" customFormat="1" x14ac:dyDescent="0.25">
      <c r="A141" s="30"/>
      <c r="L141" s="31"/>
      <c r="M141" s="32"/>
      <c r="V141" s="33"/>
      <c r="AF141" s="33"/>
      <c r="AP141" s="31"/>
      <c r="AQ141" s="34"/>
      <c r="AX141" s="33"/>
      <c r="BA141" s="83"/>
      <c r="BB141" s="84"/>
      <c r="BC141" s="85"/>
      <c r="BD141" s="84"/>
    </row>
    <row r="142" spans="1:56" s="23" customFormat="1" x14ac:dyDescent="0.25">
      <c r="A142" s="30"/>
      <c r="L142" s="31"/>
      <c r="M142" s="32"/>
      <c r="V142" s="33"/>
      <c r="AF142" s="33"/>
      <c r="AP142" s="31"/>
      <c r="AQ142" s="34"/>
      <c r="AX142" s="33"/>
      <c r="BA142" s="83"/>
      <c r="BB142" s="84"/>
      <c r="BC142" s="85"/>
      <c r="BD142" s="84"/>
    </row>
    <row r="143" spans="1:56" s="23" customFormat="1" x14ac:dyDescent="0.25">
      <c r="A143" s="30"/>
      <c r="L143" s="31"/>
      <c r="M143" s="32"/>
      <c r="V143" s="33"/>
      <c r="AF143" s="33"/>
      <c r="AP143" s="31"/>
      <c r="AQ143" s="34"/>
      <c r="AX143" s="33"/>
      <c r="BA143" s="83"/>
      <c r="BB143" s="84"/>
      <c r="BC143" s="85"/>
      <c r="BD143" s="84"/>
    </row>
    <row r="144" spans="1:56" s="23" customFormat="1" x14ac:dyDescent="0.25">
      <c r="A144" s="30"/>
      <c r="L144" s="31"/>
      <c r="M144" s="32"/>
      <c r="V144" s="33"/>
      <c r="AF144" s="33"/>
      <c r="AP144" s="31"/>
      <c r="AQ144" s="34"/>
      <c r="AX144" s="33"/>
      <c r="BA144" s="83"/>
      <c r="BB144" s="84"/>
      <c r="BC144" s="85"/>
      <c r="BD144" s="84"/>
    </row>
    <row r="145" spans="1:56" s="23" customFormat="1" x14ac:dyDescent="0.25">
      <c r="A145" s="30"/>
      <c r="L145" s="31"/>
      <c r="M145" s="32"/>
      <c r="V145" s="33"/>
      <c r="AF145" s="33"/>
      <c r="AP145" s="31"/>
      <c r="AQ145" s="34"/>
      <c r="AX145" s="33"/>
      <c r="BA145" s="83"/>
      <c r="BB145" s="84"/>
      <c r="BC145" s="85"/>
      <c r="BD145" s="84"/>
    </row>
    <row r="146" spans="1:56" s="23" customFormat="1" x14ac:dyDescent="0.25">
      <c r="A146" s="30"/>
      <c r="L146" s="31"/>
      <c r="M146" s="32"/>
      <c r="V146" s="33"/>
      <c r="AF146" s="33"/>
      <c r="AP146" s="31"/>
      <c r="AQ146" s="34"/>
      <c r="AX146" s="33"/>
      <c r="BA146" s="83"/>
      <c r="BB146" s="84"/>
      <c r="BC146" s="85"/>
      <c r="BD146" s="84"/>
    </row>
    <row r="147" spans="1:56" s="23" customFormat="1" x14ac:dyDescent="0.25">
      <c r="A147" s="30"/>
      <c r="L147" s="31"/>
      <c r="M147" s="32"/>
      <c r="V147" s="33"/>
      <c r="AF147" s="33"/>
      <c r="AP147" s="31"/>
      <c r="AQ147" s="34"/>
      <c r="AX147" s="33"/>
      <c r="BA147" s="83"/>
      <c r="BB147" s="84"/>
      <c r="BC147" s="85"/>
      <c r="BD147" s="84"/>
    </row>
    <row r="148" spans="1:56" s="23" customFormat="1" x14ac:dyDescent="0.25">
      <c r="A148" s="30"/>
      <c r="L148" s="31"/>
      <c r="M148" s="32"/>
      <c r="V148" s="33"/>
      <c r="AF148" s="33"/>
      <c r="AP148" s="31"/>
      <c r="AQ148" s="34"/>
      <c r="AX148" s="33"/>
      <c r="BA148" s="83"/>
      <c r="BB148" s="84"/>
      <c r="BC148" s="85"/>
      <c r="BD148" s="84"/>
    </row>
    <row r="149" spans="1:56" s="23" customFormat="1" x14ac:dyDescent="0.25">
      <c r="A149" s="30"/>
      <c r="L149" s="31"/>
      <c r="M149" s="32"/>
      <c r="V149" s="33"/>
      <c r="AF149" s="33"/>
      <c r="AP149" s="31"/>
      <c r="AQ149" s="34"/>
      <c r="AX149" s="33"/>
      <c r="BA149" s="83"/>
      <c r="BB149" s="84"/>
      <c r="BC149" s="85"/>
      <c r="BD149" s="84"/>
    </row>
    <row r="150" spans="1:56" s="23" customFormat="1" x14ac:dyDescent="0.25">
      <c r="A150" s="30"/>
      <c r="L150" s="31"/>
      <c r="M150" s="32"/>
      <c r="V150" s="33"/>
      <c r="AF150" s="33"/>
      <c r="AP150" s="31"/>
      <c r="AQ150" s="34"/>
      <c r="AX150" s="33"/>
      <c r="BA150" s="83"/>
      <c r="BB150" s="84"/>
      <c r="BC150" s="85"/>
      <c r="BD150" s="84"/>
    </row>
    <row r="151" spans="1:56" s="23" customFormat="1" x14ac:dyDescent="0.25">
      <c r="A151" s="30"/>
      <c r="L151" s="31"/>
      <c r="M151" s="32"/>
      <c r="V151" s="33"/>
      <c r="AF151" s="33"/>
      <c r="AP151" s="31"/>
      <c r="AQ151" s="34"/>
      <c r="AX151" s="33"/>
      <c r="BA151" s="83"/>
      <c r="BB151" s="84"/>
      <c r="BC151" s="85"/>
      <c r="BD151" s="84"/>
    </row>
    <row r="152" spans="1:56" s="23" customFormat="1" x14ac:dyDescent="0.25">
      <c r="A152" s="30"/>
      <c r="L152" s="31"/>
      <c r="M152" s="32"/>
      <c r="V152" s="33"/>
      <c r="AF152" s="33"/>
      <c r="AP152" s="31"/>
      <c r="AQ152" s="34"/>
      <c r="AX152" s="33"/>
      <c r="BA152" s="83"/>
      <c r="BB152" s="84"/>
      <c r="BC152" s="85"/>
      <c r="BD152" s="84"/>
    </row>
    <row r="153" spans="1:56" s="23" customFormat="1" x14ac:dyDescent="0.25">
      <c r="A153" s="30"/>
      <c r="L153" s="31"/>
      <c r="M153" s="32"/>
      <c r="V153" s="33"/>
      <c r="AF153" s="33"/>
      <c r="AP153" s="31"/>
      <c r="AQ153" s="34"/>
      <c r="AX153" s="33"/>
      <c r="BA153" s="83"/>
      <c r="BB153" s="84"/>
      <c r="BC153" s="85"/>
      <c r="BD153" s="84"/>
    </row>
    <row r="154" spans="1:56" s="23" customFormat="1" x14ac:dyDescent="0.25">
      <c r="A154" s="30"/>
      <c r="L154" s="31"/>
      <c r="M154" s="32"/>
      <c r="V154" s="33"/>
      <c r="AF154" s="33"/>
      <c r="AP154" s="31"/>
      <c r="AQ154" s="34"/>
      <c r="AX154" s="33"/>
      <c r="BA154" s="83"/>
      <c r="BB154" s="84"/>
      <c r="BC154" s="85"/>
      <c r="BD154" s="84"/>
    </row>
    <row r="155" spans="1:56" s="23" customFormat="1" x14ac:dyDescent="0.25">
      <c r="A155" s="30"/>
      <c r="L155" s="31"/>
      <c r="M155" s="32"/>
      <c r="V155" s="33"/>
      <c r="AF155" s="33"/>
      <c r="AP155" s="31"/>
      <c r="AQ155" s="34"/>
      <c r="AX155" s="33"/>
      <c r="BA155" s="83"/>
      <c r="BB155" s="84"/>
      <c r="BC155" s="85"/>
      <c r="BD155" s="84"/>
    </row>
    <row r="156" spans="1:56" s="23" customFormat="1" x14ac:dyDescent="0.25">
      <c r="A156" s="30"/>
      <c r="L156" s="31"/>
      <c r="M156" s="32"/>
      <c r="V156" s="33"/>
      <c r="AF156" s="33"/>
      <c r="AP156" s="31"/>
      <c r="AQ156" s="34"/>
      <c r="AX156" s="33"/>
      <c r="BA156" s="83"/>
      <c r="BB156" s="84"/>
      <c r="BC156" s="85"/>
      <c r="BD156" s="84"/>
    </row>
    <row r="157" spans="1:56" s="23" customFormat="1" x14ac:dyDescent="0.25">
      <c r="A157" s="30"/>
      <c r="L157" s="31"/>
      <c r="M157" s="32"/>
      <c r="V157" s="33"/>
      <c r="AF157" s="33"/>
      <c r="AP157" s="31"/>
      <c r="AQ157" s="34"/>
      <c r="AX157" s="33"/>
      <c r="BA157" s="83"/>
      <c r="BB157" s="84"/>
      <c r="BC157" s="85"/>
      <c r="BD157" s="84"/>
    </row>
    <row r="158" spans="1:56" s="23" customFormat="1" x14ac:dyDescent="0.25">
      <c r="A158" s="30"/>
      <c r="L158" s="31"/>
      <c r="M158" s="32"/>
      <c r="V158" s="33"/>
      <c r="AF158" s="33"/>
      <c r="AP158" s="31"/>
      <c r="AQ158" s="34"/>
      <c r="AX158" s="33"/>
      <c r="BA158" s="83"/>
      <c r="BB158" s="84"/>
      <c r="BC158" s="85"/>
      <c r="BD158" s="84"/>
    </row>
    <row r="159" spans="1:56" s="23" customFormat="1" x14ac:dyDescent="0.25">
      <c r="A159" s="30"/>
      <c r="L159" s="31"/>
      <c r="M159" s="32"/>
      <c r="V159" s="33"/>
      <c r="AF159" s="33"/>
      <c r="AP159" s="31"/>
      <c r="AQ159" s="34"/>
      <c r="AX159" s="33"/>
      <c r="BA159" s="83"/>
      <c r="BB159" s="84"/>
      <c r="BC159" s="85"/>
      <c r="BD159" s="84"/>
    </row>
    <row r="160" spans="1:56" s="23" customFormat="1" x14ac:dyDescent="0.25">
      <c r="A160" s="30"/>
      <c r="L160" s="31"/>
      <c r="M160" s="32"/>
      <c r="V160" s="33"/>
      <c r="AF160" s="33"/>
      <c r="AP160" s="31"/>
      <c r="AQ160" s="34"/>
      <c r="AX160" s="33"/>
      <c r="BA160" s="83"/>
      <c r="BB160" s="84"/>
      <c r="BC160" s="85"/>
      <c r="BD160" s="84"/>
    </row>
    <row r="161" spans="1:56" s="23" customFormat="1" x14ac:dyDescent="0.25">
      <c r="A161" s="30"/>
      <c r="L161" s="31"/>
      <c r="M161" s="32"/>
      <c r="V161" s="33"/>
      <c r="AF161" s="33"/>
      <c r="AP161" s="31"/>
      <c r="AQ161" s="34"/>
      <c r="AX161" s="33"/>
      <c r="BA161" s="83"/>
      <c r="BB161" s="84"/>
      <c r="BC161" s="85"/>
      <c r="BD161" s="84"/>
    </row>
    <row r="162" spans="1:56" s="23" customFormat="1" x14ac:dyDescent="0.25">
      <c r="A162" s="30"/>
      <c r="L162" s="31"/>
      <c r="M162" s="32"/>
      <c r="V162" s="33"/>
      <c r="AF162" s="33"/>
      <c r="AP162" s="31"/>
      <c r="AQ162" s="34"/>
      <c r="AX162" s="33"/>
      <c r="BA162" s="83"/>
      <c r="BB162" s="84"/>
      <c r="BC162" s="85"/>
      <c r="BD162" s="84"/>
    </row>
    <row r="163" spans="1:56" s="23" customFormat="1" x14ac:dyDescent="0.25">
      <c r="A163" s="30"/>
      <c r="L163" s="31"/>
      <c r="M163" s="32"/>
      <c r="V163" s="33"/>
      <c r="AF163" s="33"/>
      <c r="AP163" s="31"/>
      <c r="AQ163" s="34"/>
      <c r="AX163" s="33"/>
      <c r="BA163" s="83"/>
      <c r="BB163" s="84"/>
      <c r="BC163" s="85"/>
      <c r="BD163" s="84"/>
    </row>
    <row r="164" spans="1:56" s="23" customFormat="1" x14ac:dyDescent="0.25">
      <c r="A164" s="30"/>
      <c r="L164" s="31"/>
      <c r="M164" s="32"/>
      <c r="V164" s="33"/>
      <c r="AF164" s="33"/>
      <c r="AP164" s="31"/>
      <c r="AQ164" s="34"/>
      <c r="AX164" s="33"/>
      <c r="BA164" s="83"/>
      <c r="BB164" s="84"/>
      <c r="BC164" s="85"/>
      <c r="BD164" s="84"/>
    </row>
    <row r="165" spans="1:56" s="23" customFormat="1" x14ac:dyDescent="0.25">
      <c r="A165" s="30"/>
      <c r="L165" s="31"/>
      <c r="M165" s="32"/>
      <c r="V165" s="33"/>
      <c r="AF165" s="33"/>
      <c r="AP165" s="31"/>
      <c r="AQ165" s="34"/>
      <c r="AX165" s="33"/>
      <c r="BA165" s="83"/>
      <c r="BB165" s="84"/>
      <c r="BC165" s="85"/>
      <c r="BD165" s="84"/>
    </row>
    <row r="166" spans="1:56" s="23" customFormat="1" x14ac:dyDescent="0.25">
      <c r="A166" s="30"/>
      <c r="L166" s="31"/>
      <c r="M166" s="32"/>
      <c r="V166" s="33"/>
      <c r="AF166" s="33"/>
      <c r="AP166" s="31"/>
      <c r="AQ166" s="34"/>
      <c r="AX166" s="33"/>
      <c r="BA166" s="83"/>
      <c r="BB166" s="84"/>
      <c r="BC166" s="85"/>
      <c r="BD166" s="84"/>
    </row>
    <row r="167" spans="1:56" s="23" customFormat="1" x14ac:dyDescent="0.25">
      <c r="A167" s="30"/>
      <c r="L167" s="31"/>
      <c r="M167" s="32"/>
      <c r="V167" s="33"/>
      <c r="AF167" s="33"/>
      <c r="AP167" s="31"/>
      <c r="AQ167" s="34"/>
      <c r="AX167" s="33"/>
      <c r="BA167" s="83"/>
      <c r="BB167" s="84"/>
      <c r="BC167" s="85"/>
      <c r="BD167" s="84"/>
    </row>
    <row r="168" spans="1:56" s="23" customFormat="1" x14ac:dyDescent="0.25">
      <c r="A168" s="30"/>
      <c r="L168" s="31"/>
      <c r="M168" s="32"/>
      <c r="V168" s="33"/>
      <c r="AF168" s="33"/>
      <c r="AP168" s="31"/>
      <c r="AQ168" s="34"/>
      <c r="AX168" s="33"/>
      <c r="BA168" s="83"/>
      <c r="BB168" s="84"/>
      <c r="BC168" s="85"/>
      <c r="BD168" s="84"/>
    </row>
    <row r="169" spans="1:56" s="23" customFormat="1" x14ac:dyDescent="0.25">
      <c r="A169" s="30"/>
      <c r="L169" s="31"/>
      <c r="M169" s="32"/>
      <c r="V169" s="33"/>
      <c r="AF169" s="33"/>
      <c r="AP169" s="31"/>
      <c r="AQ169" s="34"/>
      <c r="AX169" s="33"/>
      <c r="BA169" s="83"/>
      <c r="BB169" s="84"/>
      <c r="BC169" s="85"/>
      <c r="BD169" s="84"/>
    </row>
    <row r="170" spans="1:56" s="23" customFormat="1" x14ac:dyDescent="0.25">
      <c r="A170" s="30"/>
      <c r="L170" s="31"/>
      <c r="M170" s="32"/>
      <c r="V170" s="33"/>
      <c r="AF170" s="33"/>
      <c r="AP170" s="31"/>
      <c r="AQ170" s="34"/>
      <c r="AX170" s="33"/>
      <c r="BA170" s="83"/>
      <c r="BB170" s="84"/>
      <c r="BC170" s="85"/>
      <c r="BD170" s="84"/>
    </row>
    <row r="171" spans="1:56" s="23" customFormat="1" x14ac:dyDescent="0.25">
      <c r="A171" s="30"/>
      <c r="L171" s="31"/>
      <c r="M171" s="32"/>
      <c r="V171" s="33"/>
      <c r="AF171" s="33"/>
      <c r="AP171" s="31"/>
      <c r="AQ171" s="34"/>
      <c r="AX171" s="33"/>
      <c r="BA171" s="83"/>
      <c r="BB171" s="84"/>
      <c r="BC171" s="85"/>
      <c r="BD171" s="84"/>
    </row>
    <row r="172" spans="1:56" s="23" customFormat="1" x14ac:dyDescent="0.25">
      <c r="A172" s="30"/>
      <c r="L172" s="31"/>
      <c r="M172" s="32"/>
      <c r="V172" s="33"/>
      <c r="AF172" s="33"/>
      <c r="AP172" s="31"/>
      <c r="AQ172" s="34"/>
      <c r="AX172" s="33"/>
      <c r="BA172" s="83"/>
      <c r="BB172" s="84"/>
      <c r="BC172" s="85"/>
      <c r="BD172" s="84"/>
    </row>
    <row r="173" spans="1:56" s="23" customFormat="1" x14ac:dyDescent="0.25">
      <c r="A173" s="30"/>
      <c r="L173" s="31"/>
      <c r="M173" s="32"/>
      <c r="V173" s="33"/>
      <c r="AF173" s="33"/>
      <c r="AP173" s="31"/>
      <c r="AQ173" s="34"/>
      <c r="AX173" s="33"/>
      <c r="BA173" s="83"/>
      <c r="BB173" s="84"/>
      <c r="BC173" s="85"/>
      <c r="BD173" s="84"/>
    </row>
    <row r="174" spans="1:56" s="23" customFormat="1" x14ac:dyDescent="0.25">
      <c r="A174" s="30"/>
      <c r="L174" s="31"/>
      <c r="M174" s="32"/>
      <c r="V174" s="33"/>
      <c r="AF174" s="33"/>
      <c r="AP174" s="31"/>
      <c r="AQ174" s="34"/>
      <c r="AX174" s="33"/>
      <c r="BA174" s="83"/>
      <c r="BB174" s="84"/>
      <c r="BC174" s="85"/>
      <c r="BD174" s="84"/>
    </row>
    <row r="175" spans="1:56" s="23" customFormat="1" x14ac:dyDescent="0.25">
      <c r="A175" s="30"/>
      <c r="L175" s="31"/>
      <c r="M175" s="32"/>
      <c r="V175" s="33"/>
      <c r="AF175" s="33"/>
      <c r="AP175" s="31"/>
      <c r="AQ175" s="34"/>
      <c r="AX175" s="33"/>
      <c r="BA175" s="83"/>
      <c r="BB175" s="84"/>
      <c r="BC175" s="85"/>
      <c r="BD175" s="84"/>
    </row>
    <row r="176" spans="1:56" s="23" customFormat="1" x14ac:dyDescent="0.25">
      <c r="A176" s="30"/>
      <c r="L176" s="31"/>
      <c r="M176" s="32"/>
      <c r="V176" s="33"/>
      <c r="AF176" s="33"/>
      <c r="AP176" s="31"/>
      <c r="AQ176" s="34"/>
      <c r="AX176" s="33"/>
      <c r="BA176" s="83"/>
      <c r="BB176" s="84"/>
      <c r="BC176" s="85"/>
      <c r="BD176" s="84"/>
    </row>
    <row r="177" spans="1:56" s="23" customFormat="1" x14ac:dyDescent="0.25">
      <c r="A177" s="30"/>
      <c r="L177" s="31"/>
      <c r="M177" s="32"/>
      <c r="V177" s="33"/>
      <c r="AF177" s="33"/>
      <c r="AP177" s="31"/>
      <c r="AQ177" s="34"/>
      <c r="AX177" s="33"/>
      <c r="BA177" s="83"/>
      <c r="BB177" s="84"/>
      <c r="BC177" s="85"/>
      <c r="BD177" s="84"/>
    </row>
    <row r="178" spans="1:56" s="23" customFormat="1" x14ac:dyDescent="0.25">
      <c r="A178" s="30"/>
      <c r="L178" s="31"/>
      <c r="M178" s="32"/>
      <c r="V178" s="33"/>
      <c r="AF178" s="33"/>
      <c r="AP178" s="31"/>
      <c r="AQ178" s="34"/>
      <c r="AX178" s="33"/>
      <c r="BA178" s="83"/>
      <c r="BB178" s="84"/>
      <c r="BC178" s="85"/>
      <c r="BD178" s="84"/>
    </row>
    <row r="179" spans="1:56" s="23" customFormat="1" x14ac:dyDescent="0.25">
      <c r="A179" s="30"/>
      <c r="L179" s="31"/>
      <c r="M179" s="32"/>
      <c r="V179" s="33"/>
      <c r="AF179" s="33"/>
      <c r="AP179" s="31"/>
      <c r="AQ179" s="34"/>
      <c r="AX179" s="33"/>
      <c r="BA179" s="83"/>
      <c r="BB179" s="84"/>
      <c r="BC179" s="85"/>
      <c r="BD179" s="84"/>
    </row>
    <row r="180" spans="1:56" s="23" customFormat="1" x14ac:dyDescent="0.25">
      <c r="A180" s="30"/>
      <c r="L180" s="31"/>
      <c r="M180" s="32"/>
      <c r="V180" s="33"/>
      <c r="AF180" s="33"/>
      <c r="AP180" s="31"/>
      <c r="AQ180" s="34"/>
      <c r="AX180" s="33"/>
      <c r="BA180" s="83"/>
      <c r="BB180" s="84"/>
      <c r="BC180" s="85"/>
      <c r="BD180" s="84"/>
    </row>
    <row r="181" spans="1:56" s="23" customFormat="1" x14ac:dyDescent="0.25">
      <c r="A181" s="30"/>
      <c r="L181" s="31"/>
      <c r="M181" s="32"/>
      <c r="V181" s="33"/>
      <c r="AF181" s="33"/>
      <c r="AP181" s="31"/>
      <c r="AQ181" s="34"/>
      <c r="AX181" s="33"/>
      <c r="BA181" s="83"/>
      <c r="BB181" s="84"/>
      <c r="BC181" s="85"/>
      <c r="BD181" s="84"/>
    </row>
    <row r="182" spans="1:56" s="23" customFormat="1" x14ac:dyDescent="0.25">
      <c r="A182" s="30"/>
      <c r="L182" s="31"/>
      <c r="M182" s="32"/>
      <c r="V182" s="33"/>
      <c r="AF182" s="33"/>
      <c r="AP182" s="31"/>
      <c r="AQ182" s="34"/>
      <c r="AX182" s="33"/>
      <c r="BA182" s="83"/>
      <c r="BB182" s="84"/>
      <c r="BC182" s="85"/>
      <c r="BD182" s="84"/>
    </row>
    <row r="183" spans="1:56" s="23" customFormat="1" x14ac:dyDescent="0.25">
      <c r="A183" s="30"/>
      <c r="L183" s="31"/>
      <c r="M183" s="32"/>
      <c r="V183" s="33"/>
      <c r="AF183" s="33"/>
      <c r="AP183" s="31"/>
      <c r="AQ183" s="34"/>
      <c r="AX183" s="33"/>
      <c r="BA183" s="83"/>
      <c r="BB183" s="84"/>
      <c r="BC183" s="85"/>
      <c r="BD183" s="84"/>
    </row>
    <row r="184" spans="1:56" s="23" customFormat="1" x14ac:dyDescent="0.25">
      <c r="A184" s="30"/>
      <c r="L184" s="31"/>
      <c r="M184" s="32"/>
      <c r="V184" s="33"/>
      <c r="AF184" s="33"/>
      <c r="AP184" s="31"/>
      <c r="AQ184" s="34"/>
      <c r="AX184" s="33"/>
      <c r="BA184" s="83"/>
      <c r="BB184" s="84"/>
      <c r="BC184" s="85"/>
      <c r="BD184" s="84"/>
    </row>
    <row r="185" spans="1:56" s="23" customFormat="1" x14ac:dyDescent="0.25">
      <c r="A185" s="30"/>
      <c r="L185" s="31"/>
      <c r="M185" s="32"/>
      <c r="V185" s="33"/>
      <c r="AF185" s="33"/>
      <c r="AP185" s="31"/>
      <c r="AQ185" s="34"/>
      <c r="AX185" s="33"/>
      <c r="BA185" s="83"/>
      <c r="BB185" s="84"/>
      <c r="BC185" s="85"/>
      <c r="BD185" s="84"/>
    </row>
    <row r="186" spans="1:56" s="23" customFormat="1" x14ac:dyDescent="0.25">
      <c r="A186" s="30"/>
      <c r="L186" s="31"/>
      <c r="M186" s="32"/>
      <c r="V186" s="33"/>
      <c r="AF186" s="33"/>
      <c r="AP186" s="31"/>
      <c r="AQ186" s="34"/>
      <c r="AX186" s="33"/>
      <c r="BA186" s="83"/>
      <c r="BB186" s="84"/>
      <c r="BC186" s="85"/>
      <c r="BD186" s="84"/>
    </row>
    <row r="187" spans="1:56" s="23" customFormat="1" x14ac:dyDescent="0.25">
      <c r="A187" s="30"/>
      <c r="L187" s="31"/>
      <c r="M187" s="32"/>
      <c r="V187" s="33"/>
      <c r="AF187" s="33"/>
      <c r="AP187" s="31"/>
      <c r="AQ187" s="34"/>
      <c r="AX187" s="33"/>
      <c r="BA187" s="83"/>
      <c r="BB187" s="84"/>
      <c r="BC187" s="85"/>
      <c r="BD187" s="84"/>
    </row>
    <row r="188" spans="1:56" s="23" customFormat="1" x14ac:dyDescent="0.25">
      <c r="A188" s="30"/>
      <c r="L188" s="31"/>
      <c r="M188" s="32"/>
      <c r="V188" s="33"/>
      <c r="AF188" s="33"/>
      <c r="AP188" s="31"/>
      <c r="AQ188" s="34"/>
      <c r="AX188" s="33"/>
      <c r="BA188" s="83"/>
      <c r="BB188" s="84"/>
      <c r="BC188" s="85"/>
      <c r="BD188" s="84"/>
    </row>
    <row r="189" spans="1:56" s="23" customFormat="1" x14ac:dyDescent="0.25">
      <c r="A189" s="30"/>
      <c r="L189" s="31"/>
      <c r="M189" s="32"/>
      <c r="V189" s="33"/>
      <c r="AF189" s="33"/>
      <c r="AP189" s="31"/>
      <c r="AQ189" s="34"/>
      <c r="AX189" s="33"/>
      <c r="BA189" s="83"/>
      <c r="BB189" s="84"/>
      <c r="BC189" s="85"/>
      <c r="BD189" s="84"/>
    </row>
    <row r="190" spans="1:56" s="23" customFormat="1" x14ac:dyDescent="0.25">
      <c r="A190" s="30"/>
      <c r="L190" s="31"/>
      <c r="M190" s="32"/>
      <c r="V190" s="33"/>
      <c r="AF190" s="33"/>
      <c r="AP190" s="31"/>
      <c r="AQ190" s="34"/>
      <c r="AX190" s="33"/>
      <c r="BA190" s="83"/>
      <c r="BB190" s="84"/>
      <c r="BC190" s="85"/>
      <c r="BD190" s="84"/>
    </row>
    <row r="191" spans="1:56" s="23" customFormat="1" x14ac:dyDescent="0.25">
      <c r="A191" s="30"/>
      <c r="L191" s="31"/>
      <c r="M191" s="32"/>
      <c r="V191" s="33"/>
      <c r="AF191" s="33"/>
      <c r="AP191" s="31"/>
      <c r="AQ191" s="34"/>
      <c r="AX191" s="33"/>
      <c r="BA191" s="83"/>
      <c r="BB191" s="84"/>
      <c r="BC191" s="85"/>
      <c r="BD191" s="84"/>
    </row>
    <row r="192" spans="1:56" s="23" customFormat="1" x14ac:dyDescent="0.25">
      <c r="A192" s="30"/>
      <c r="L192" s="31"/>
      <c r="M192" s="32"/>
      <c r="V192" s="33"/>
      <c r="AF192" s="33"/>
      <c r="AP192" s="31"/>
      <c r="AQ192" s="34"/>
      <c r="AX192" s="33"/>
      <c r="BA192" s="83"/>
      <c r="BB192" s="84"/>
      <c r="BC192" s="85"/>
      <c r="BD192" s="84"/>
    </row>
    <row r="193" spans="1:56" s="23" customFormat="1" x14ac:dyDescent="0.25">
      <c r="A193" s="30"/>
      <c r="L193" s="31"/>
      <c r="M193" s="32"/>
      <c r="V193" s="33"/>
      <c r="AF193" s="33"/>
      <c r="AP193" s="31"/>
      <c r="AQ193" s="34"/>
      <c r="AX193" s="33"/>
      <c r="BA193" s="83"/>
      <c r="BB193" s="84"/>
      <c r="BC193" s="85"/>
      <c r="BD193" s="84"/>
    </row>
    <row r="194" spans="1:56" s="23" customFormat="1" x14ac:dyDescent="0.25">
      <c r="A194" s="30"/>
      <c r="L194" s="31"/>
      <c r="M194" s="32"/>
      <c r="V194" s="33"/>
      <c r="AF194" s="33"/>
      <c r="AP194" s="31"/>
      <c r="AQ194" s="34"/>
      <c r="AX194" s="33"/>
      <c r="BA194" s="83"/>
      <c r="BB194" s="84"/>
      <c r="BC194" s="85"/>
      <c r="BD194" s="84"/>
    </row>
    <row r="195" spans="1:56" s="23" customFormat="1" x14ac:dyDescent="0.25">
      <c r="A195" s="30"/>
      <c r="L195" s="31"/>
      <c r="M195" s="32"/>
      <c r="V195" s="33"/>
      <c r="AF195" s="33"/>
      <c r="AP195" s="31"/>
      <c r="AQ195" s="34"/>
      <c r="AX195" s="33"/>
      <c r="BA195" s="83"/>
      <c r="BB195" s="84"/>
      <c r="BC195" s="85"/>
      <c r="BD195" s="84"/>
    </row>
    <row r="196" spans="1:56" s="23" customFormat="1" x14ac:dyDescent="0.25">
      <c r="A196" s="30"/>
      <c r="L196" s="31"/>
      <c r="M196" s="32"/>
      <c r="V196" s="33"/>
      <c r="AF196" s="33"/>
      <c r="AP196" s="31"/>
      <c r="AQ196" s="34"/>
      <c r="AX196" s="33"/>
      <c r="BA196" s="83"/>
      <c r="BB196" s="84"/>
      <c r="BC196" s="85"/>
      <c r="BD196" s="84"/>
    </row>
    <row r="197" spans="1:56" s="23" customFormat="1" x14ac:dyDescent="0.25">
      <c r="A197" s="30"/>
      <c r="L197" s="31"/>
      <c r="M197" s="32"/>
      <c r="V197" s="33"/>
      <c r="AF197" s="33"/>
      <c r="AP197" s="31"/>
      <c r="AQ197" s="34"/>
      <c r="AX197" s="33"/>
      <c r="BA197" s="83"/>
      <c r="BB197" s="84"/>
      <c r="BC197" s="85"/>
      <c r="BD197" s="84"/>
    </row>
    <row r="198" spans="1:56" s="23" customFormat="1" x14ac:dyDescent="0.25">
      <c r="A198" s="30"/>
      <c r="L198" s="31"/>
      <c r="M198" s="32"/>
      <c r="V198" s="33"/>
      <c r="AF198" s="33"/>
      <c r="AP198" s="31"/>
      <c r="AQ198" s="34"/>
      <c r="AX198" s="33"/>
      <c r="BA198" s="83"/>
      <c r="BB198" s="84"/>
      <c r="BC198" s="85"/>
      <c r="BD198" s="84"/>
    </row>
    <row r="199" spans="1:56" s="23" customFormat="1" x14ac:dyDescent="0.25">
      <c r="A199" s="30"/>
      <c r="L199" s="31"/>
      <c r="M199" s="32"/>
      <c r="V199" s="33"/>
      <c r="AF199" s="33"/>
      <c r="AP199" s="31"/>
      <c r="AQ199" s="34"/>
      <c r="AX199" s="33"/>
      <c r="BA199" s="83"/>
      <c r="BB199" s="84"/>
      <c r="BC199" s="85"/>
      <c r="BD199" s="84"/>
    </row>
    <row r="200" spans="1:56" s="23" customFormat="1" x14ac:dyDescent="0.25">
      <c r="A200" s="30"/>
      <c r="L200" s="31"/>
      <c r="M200" s="32"/>
      <c r="V200" s="33"/>
      <c r="AF200" s="33"/>
      <c r="AP200" s="31"/>
      <c r="AQ200" s="34"/>
      <c r="AX200" s="33"/>
      <c r="BA200" s="83"/>
      <c r="BB200" s="84"/>
      <c r="BC200" s="85"/>
      <c r="BD200" s="84"/>
    </row>
    <row r="201" spans="1:56" s="23" customFormat="1" x14ac:dyDescent="0.25">
      <c r="A201" s="30"/>
      <c r="L201" s="31"/>
      <c r="M201" s="32"/>
      <c r="V201" s="33"/>
      <c r="AF201" s="33"/>
      <c r="AP201" s="31"/>
      <c r="AQ201" s="34"/>
      <c r="AX201" s="33"/>
      <c r="BA201" s="83"/>
      <c r="BB201" s="84"/>
      <c r="BC201" s="85"/>
      <c r="BD201" s="84"/>
    </row>
    <row r="202" spans="1:56" s="23" customFormat="1" x14ac:dyDescent="0.25">
      <c r="A202" s="30"/>
      <c r="L202" s="31"/>
      <c r="M202" s="32"/>
      <c r="V202" s="33"/>
      <c r="AF202" s="33"/>
      <c r="AP202" s="31"/>
      <c r="AQ202" s="34"/>
      <c r="AX202" s="33"/>
      <c r="BA202" s="83"/>
      <c r="BB202" s="84"/>
      <c r="BC202" s="85"/>
      <c r="BD202" s="84"/>
    </row>
    <row r="203" spans="1:56" s="23" customFormat="1" x14ac:dyDescent="0.25">
      <c r="A203" s="30"/>
      <c r="L203" s="31"/>
      <c r="M203" s="32"/>
      <c r="V203" s="33"/>
      <c r="AF203" s="33"/>
      <c r="AP203" s="31"/>
      <c r="AQ203" s="34"/>
      <c r="AX203" s="33"/>
      <c r="BA203" s="83"/>
      <c r="BB203" s="84"/>
      <c r="BC203" s="85"/>
      <c r="BD203" s="84"/>
    </row>
    <row r="204" spans="1:56" s="23" customFormat="1" x14ac:dyDescent="0.25">
      <c r="A204" s="30"/>
      <c r="L204" s="31"/>
      <c r="M204" s="32"/>
      <c r="V204" s="33"/>
      <c r="AF204" s="33"/>
      <c r="AP204" s="31"/>
      <c r="AQ204" s="34"/>
      <c r="AX204" s="33"/>
      <c r="BA204" s="83"/>
      <c r="BB204" s="84"/>
      <c r="BC204" s="85"/>
      <c r="BD204" s="84"/>
    </row>
    <row r="205" spans="1:56" s="23" customFormat="1" x14ac:dyDescent="0.25">
      <c r="A205" s="30"/>
      <c r="L205" s="31"/>
      <c r="M205" s="32"/>
      <c r="V205" s="33"/>
      <c r="AF205" s="33"/>
      <c r="AP205" s="31"/>
      <c r="AQ205" s="34"/>
      <c r="AX205" s="33"/>
      <c r="BA205" s="83"/>
      <c r="BB205" s="84"/>
      <c r="BC205" s="85"/>
      <c r="BD205" s="84"/>
    </row>
    <row r="206" spans="1:56" s="23" customFormat="1" x14ac:dyDescent="0.25">
      <c r="A206" s="30"/>
      <c r="L206" s="31"/>
      <c r="M206" s="32"/>
      <c r="V206" s="33"/>
      <c r="AF206" s="33"/>
      <c r="AP206" s="31"/>
      <c r="AQ206" s="34"/>
      <c r="AX206" s="33"/>
      <c r="BA206" s="83"/>
      <c r="BB206" s="84"/>
      <c r="BC206" s="85"/>
      <c r="BD206" s="84"/>
    </row>
    <row r="207" spans="1:56" s="23" customFormat="1" x14ac:dyDescent="0.25">
      <c r="A207" s="30"/>
      <c r="L207" s="31"/>
      <c r="M207" s="32"/>
      <c r="V207" s="33"/>
      <c r="AF207" s="33"/>
      <c r="AP207" s="31"/>
      <c r="AQ207" s="34"/>
      <c r="AX207" s="33"/>
      <c r="BA207" s="83"/>
      <c r="BB207" s="84"/>
      <c r="BC207" s="85"/>
      <c r="BD207" s="84"/>
    </row>
    <row r="208" spans="1:56" s="23" customFormat="1" x14ac:dyDescent="0.25">
      <c r="A208" s="30"/>
      <c r="L208" s="31"/>
      <c r="M208" s="32"/>
      <c r="V208" s="33"/>
      <c r="AF208" s="33"/>
      <c r="AP208" s="31"/>
      <c r="AQ208" s="34"/>
      <c r="AX208" s="33"/>
      <c r="BA208" s="83"/>
      <c r="BB208" s="84"/>
      <c r="BC208" s="85"/>
      <c r="BD208" s="84"/>
    </row>
    <row r="209" spans="1:56" s="23" customFormat="1" x14ac:dyDescent="0.25">
      <c r="A209" s="30"/>
      <c r="L209" s="31"/>
      <c r="M209" s="32"/>
      <c r="V209" s="33"/>
      <c r="AF209" s="33"/>
      <c r="AP209" s="31"/>
      <c r="AQ209" s="34"/>
      <c r="AX209" s="33"/>
      <c r="BA209" s="83"/>
      <c r="BB209" s="84"/>
      <c r="BC209" s="85"/>
      <c r="BD209" s="84"/>
    </row>
    <row r="210" spans="1:56" s="23" customFormat="1" x14ac:dyDescent="0.25">
      <c r="A210" s="30"/>
      <c r="L210" s="31"/>
      <c r="M210" s="32"/>
      <c r="V210" s="33"/>
      <c r="AF210" s="33"/>
      <c r="AP210" s="31"/>
      <c r="AQ210" s="34"/>
      <c r="AX210" s="33"/>
      <c r="BA210" s="83"/>
      <c r="BB210" s="84"/>
      <c r="BC210" s="85"/>
      <c r="BD210" s="84"/>
    </row>
    <row r="211" spans="1:56" s="23" customFormat="1" x14ac:dyDescent="0.25">
      <c r="A211" s="30"/>
      <c r="L211" s="31"/>
      <c r="M211" s="32"/>
      <c r="V211" s="33"/>
      <c r="AF211" s="33"/>
      <c r="AP211" s="31"/>
      <c r="AQ211" s="34"/>
      <c r="AX211" s="33"/>
      <c r="BA211" s="83"/>
      <c r="BB211" s="84"/>
      <c r="BC211" s="85"/>
      <c r="BD211" s="84"/>
    </row>
    <row r="212" spans="1:56" s="23" customFormat="1" x14ac:dyDescent="0.25">
      <c r="A212" s="30"/>
      <c r="L212" s="31"/>
      <c r="M212" s="32"/>
      <c r="V212" s="33"/>
      <c r="AF212" s="33"/>
      <c r="AP212" s="31"/>
      <c r="AQ212" s="34"/>
      <c r="AX212" s="33"/>
      <c r="BA212" s="83"/>
      <c r="BB212" s="84"/>
      <c r="BC212" s="85"/>
      <c r="BD212" s="84"/>
    </row>
    <row r="213" spans="1:56" s="23" customFormat="1" x14ac:dyDescent="0.25">
      <c r="A213" s="30"/>
      <c r="L213" s="31"/>
      <c r="M213" s="32"/>
      <c r="V213" s="33"/>
      <c r="AF213" s="33"/>
      <c r="AP213" s="31"/>
      <c r="AQ213" s="34"/>
      <c r="AX213" s="33"/>
      <c r="BA213" s="83"/>
      <c r="BB213" s="84"/>
      <c r="BC213" s="85"/>
      <c r="BD213" s="84"/>
    </row>
    <row r="214" spans="1:56" s="23" customFormat="1" x14ac:dyDescent="0.25">
      <c r="A214" s="30"/>
      <c r="L214" s="31"/>
      <c r="M214" s="32"/>
      <c r="V214" s="33"/>
      <c r="AF214" s="33"/>
      <c r="AP214" s="31"/>
      <c r="AQ214" s="34"/>
      <c r="AX214" s="33"/>
      <c r="BA214" s="83"/>
      <c r="BB214" s="84"/>
      <c r="BC214" s="85"/>
      <c r="BD214" s="84"/>
    </row>
    <row r="215" spans="1:56" s="23" customFormat="1" x14ac:dyDescent="0.25">
      <c r="A215" s="30"/>
      <c r="L215" s="31"/>
      <c r="M215" s="32"/>
      <c r="V215" s="33"/>
      <c r="AF215" s="33"/>
      <c r="AP215" s="31"/>
      <c r="AQ215" s="34"/>
      <c r="AX215" s="33"/>
      <c r="BA215" s="83"/>
      <c r="BB215" s="84"/>
      <c r="BC215" s="85"/>
      <c r="BD215" s="84"/>
    </row>
    <row r="216" spans="1:56" s="23" customFormat="1" x14ac:dyDescent="0.25">
      <c r="A216" s="30"/>
      <c r="L216" s="31"/>
      <c r="M216" s="32"/>
      <c r="V216" s="33"/>
      <c r="AF216" s="33"/>
      <c r="AP216" s="31"/>
      <c r="AQ216" s="34"/>
      <c r="AX216" s="33"/>
      <c r="BA216" s="83"/>
      <c r="BB216" s="84"/>
      <c r="BC216" s="85"/>
      <c r="BD216" s="84"/>
    </row>
    <row r="217" spans="1:56" s="23" customFormat="1" x14ac:dyDescent="0.25">
      <c r="A217" s="30"/>
      <c r="L217" s="31"/>
      <c r="M217" s="32"/>
      <c r="V217" s="33"/>
      <c r="AF217" s="33"/>
      <c r="AP217" s="31"/>
      <c r="AQ217" s="34"/>
      <c r="AX217" s="33"/>
      <c r="BA217" s="83"/>
      <c r="BB217" s="84"/>
      <c r="BC217" s="85"/>
      <c r="BD217" s="84"/>
    </row>
    <row r="218" spans="1:56" s="23" customFormat="1" x14ac:dyDescent="0.25">
      <c r="A218" s="30"/>
      <c r="L218" s="31"/>
      <c r="M218" s="32"/>
      <c r="V218" s="33"/>
      <c r="AF218" s="33"/>
      <c r="AP218" s="31"/>
      <c r="AQ218" s="34"/>
      <c r="AX218" s="33"/>
      <c r="BA218" s="83"/>
      <c r="BB218" s="84"/>
      <c r="BC218" s="85"/>
      <c r="BD218" s="84"/>
    </row>
    <row r="219" spans="1:56" s="23" customFormat="1" x14ac:dyDescent="0.25">
      <c r="A219" s="30"/>
      <c r="L219" s="31"/>
      <c r="M219" s="32"/>
      <c r="V219" s="33"/>
      <c r="AF219" s="33"/>
      <c r="AP219" s="31"/>
      <c r="AQ219" s="34"/>
      <c r="AX219" s="33"/>
      <c r="BA219" s="83"/>
      <c r="BB219" s="84"/>
      <c r="BC219" s="85"/>
      <c r="BD219" s="84"/>
    </row>
    <row r="220" spans="1:56" s="23" customFormat="1" x14ac:dyDescent="0.25">
      <c r="A220" s="30"/>
      <c r="L220" s="31"/>
      <c r="M220" s="32"/>
      <c r="V220" s="33"/>
      <c r="AF220" s="33"/>
      <c r="AP220" s="31"/>
      <c r="AQ220" s="34"/>
      <c r="AX220" s="33"/>
      <c r="BA220" s="83"/>
      <c r="BB220" s="84"/>
      <c r="BC220" s="85"/>
      <c r="BD220" s="84"/>
    </row>
    <row r="221" spans="1:56" s="23" customFormat="1" x14ac:dyDescent="0.25">
      <c r="A221" s="30"/>
      <c r="L221" s="31"/>
      <c r="M221" s="32"/>
      <c r="V221" s="33"/>
      <c r="AF221" s="33"/>
      <c r="AP221" s="31"/>
      <c r="AQ221" s="34"/>
      <c r="AX221" s="33"/>
      <c r="BA221" s="83"/>
      <c r="BB221" s="84"/>
      <c r="BC221" s="85"/>
      <c r="BD221" s="84"/>
    </row>
    <row r="222" spans="1:56" s="23" customFormat="1" x14ac:dyDescent="0.25">
      <c r="A222" s="30"/>
      <c r="L222" s="31"/>
      <c r="M222" s="32"/>
      <c r="V222" s="33"/>
      <c r="AF222" s="33"/>
      <c r="AP222" s="31"/>
      <c r="AQ222" s="34"/>
      <c r="AX222" s="33"/>
      <c r="BA222" s="83"/>
      <c r="BB222" s="84"/>
      <c r="BC222" s="85"/>
      <c r="BD222" s="84"/>
    </row>
    <row r="223" spans="1:56" s="23" customFormat="1" x14ac:dyDescent="0.25">
      <c r="A223" s="30"/>
      <c r="L223" s="31"/>
      <c r="M223" s="32"/>
      <c r="V223" s="33"/>
      <c r="AF223" s="33"/>
      <c r="AP223" s="31"/>
      <c r="AQ223" s="34"/>
      <c r="AX223" s="33"/>
      <c r="BA223" s="83"/>
      <c r="BB223" s="84"/>
      <c r="BC223" s="85"/>
      <c r="BD223" s="84"/>
    </row>
    <row r="224" spans="1:56" s="23" customFormat="1" x14ac:dyDescent="0.25">
      <c r="A224" s="30"/>
      <c r="L224" s="31"/>
      <c r="M224" s="32"/>
      <c r="V224" s="33"/>
      <c r="AF224" s="33"/>
      <c r="AP224" s="31"/>
      <c r="AQ224" s="34"/>
      <c r="AX224" s="33"/>
      <c r="BA224" s="83"/>
      <c r="BB224" s="84"/>
      <c r="BC224" s="85"/>
      <c r="BD224" s="84"/>
    </row>
    <row r="225" spans="1:56" s="23" customFormat="1" x14ac:dyDescent="0.25">
      <c r="A225" s="30"/>
      <c r="L225" s="31"/>
      <c r="M225" s="32"/>
      <c r="V225" s="33"/>
      <c r="AF225" s="33"/>
      <c r="AP225" s="31"/>
      <c r="AQ225" s="34"/>
      <c r="AX225" s="33"/>
      <c r="BA225" s="83"/>
      <c r="BB225" s="84"/>
      <c r="BC225" s="85"/>
      <c r="BD225" s="84"/>
    </row>
    <row r="226" spans="1:56" s="23" customFormat="1" x14ac:dyDescent="0.25">
      <c r="A226" s="30"/>
      <c r="L226" s="31"/>
      <c r="M226" s="32"/>
      <c r="V226" s="33"/>
      <c r="AF226" s="33"/>
      <c r="AP226" s="31"/>
      <c r="AQ226" s="34"/>
      <c r="AX226" s="33"/>
      <c r="BA226" s="83"/>
      <c r="BB226" s="84"/>
      <c r="BC226" s="85"/>
      <c r="BD226" s="84"/>
    </row>
    <row r="227" spans="1:56" s="23" customFormat="1" x14ac:dyDescent="0.25">
      <c r="A227" s="30"/>
      <c r="L227" s="31"/>
      <c r="M227" s="32"/>
      <c r="V227" s="33"/>
      <c r="AF227" s="33"/>
      <c r="AP227" s="31"/>
      <c r="AQ227" s="34"/>
      <c r="AX227" s="33"/>
      <c r="BA227" s="83"/>
      <c r="BB227" s="84"/>
      <c r="BC227" s="85"/>
      <c r="BD227" s="84"/>
    </row>
    <row r="228" spans="1:56" s="23" customFormat="1" x14ac:dyDescent="0.25">
      <c r="A228" s="30"/>
      <c r="L228" s="31"/>
      <c r="M228" s="32"/>
      <c r="V228" s="33"/>
      <c r="AF228" s="33"/>
      <c r="AP228" s="31"/>
      <c r="AQ228" s="34"/>
      <c r="AX228" s="33"/>
      <c r="BA228" s="83"/>
      <c r="BB228" s="84"/>
      <c r="BC228" s="85"/>
      <c r="BD228" s="84"/>
    </row>
    <row r="229" spans="1:56" s="23" customFormat="1" x14ac:dyDescent="0.25">
      <c r="A229" s="30"/>
      <c r="L229" s="31"/>
      <c r="M229" s="32"/>
      <c r="V229" s="33"/>
      <c r="AF229" s="33"/>
      <c r="AP229" s="31"/>
      <c r="AQ229" s="34"/>
      <c r="AX229" s="33"/>
      <c r="BA229" s="83"/>
      <c r="BB229" s="84"/>
      <c r="BC229" s="85"/>
      <c r="BD229" s="84"/>
    </row>
    <row r="230" spans="1:56" s="23" customFormat="1" x14ac:dyDescent="0.25">
      <c r="A230" s="30"/>
      <c r="L230" s="31"/>
      <c r="M230" s="32"/>
      <c r="V230" s="33"/>
      <c r="AF230" s="33"/>
      <c r="AP230" s="31"/>
      <c r="AQ230" s="34"/>
      <c r="AX230" s="33"/>
      <c r="BA230" s="83"/>
      <c r="BB230" s="84"/>
      <c r="BC230" s="85"/>
      <c r="BD230" s="84"/>
    </row>
    <row r="231" spans="1:56" s="23" customFormat="1" x14ac:dyDescent="0.25">
      <c r="A231" s="30"/>
      <c r="L231" s="31"/>
      <c r="M231" s="32"/>
      <c r="V231" s="33"/>
      <c r="AF231" s="33"/>
      <c r="AP231" s="31"/>
      <c r="AQ231" s="34"/>
      <c r="AX231" s="33"/>
      <c r="BA231" s="83"/>
      <c r="BB231" s="84"/>
      <c r="BC231" s="85"/>
      <c r="BD231" s="84"/>
    </row>
    <row r="232" spans="1:56" s="23" customFormat="1" x14ac:dyDescent="0.25">
      <c r="A232" s="30"/>
      <c r="L232" s="31"/>
      <c r="M232" s="32"/>
      <c r="V232" s="33"/>
      <c r="AF232" s="33"/>
      <c r="AP232" s="31"/>
      <c r="AQ232" s="34"/>
      <c r="AX232" s="33"/>
      <c r="BA232" s="83"/>
      <c r="BB232" s="84"/>
      <c r="BC232" s="85"/>
      <c r="BD232" s="84"/>
    </row>
    <row r="233" spans="1:56" s="23" customFormat="1" x14ac:dyDescent="0.25">
      <c r="A233" s="30"/>
      <c r="L233" s="31"/>
      <c r="M233" s="32"/>
      <c r="V233" s="33"/>
      <c r="AF233" s="33"/>
      <c r="AP233" s="31"/>
      <c r="AQ233" s="34"/>
      <c r="AX233" s="33"/>
      <c r="BA233" s="83"/>
      <c r="BB233" s="84"/>
      <c r="BC233" s="85"/>
      <c r="BD233" s="84"/>
    </row>
    <row r="234" spans="1:56" s="23" customFormat="1" x14ac:dyDescent="0.25">
      <c r="A234" s="30"/>
      <c r="L234" s="31"/>
      <c r="M234" s="32"/>
      <c r="V234" s="33"/>
      <c r="AF234" s="33"/>
      <c r="AP234" s="31"/>
      <c r="AQ234" s="34"/>
      <c r="AX234" s="33"/>
      <c r="BA234" s="83"/>
      <c r="BB234" s="84"/>
      <c r="BC234" s="85"/>
      <c r="BD234" s="84"/>
    </row>
    <row r="235" spans="1:56" s="23" customFormat="1" x14ac:dyDescent="0.25">
      <c r="A235" s="30"/>
      <c r="L235" s="31"/>
      <c r="M235" s="32"/>
      <c r="V235" s="33"/>
      <c r="AF235" s="33"/>
      <c r="AP235" s="31"/>
      <c r="AQ235" s="34"/>
      <c r="AX235" s="33"/>
      <c r="BA235" s="83"/>
      <c r="BB235" s="84"/>
      <c r="BC235" s="85"/>
      <c r="BD235" s="84"/>
    </row>
    <row r="236" spans="1:56" s="23" customFormat="1" x14ac:dyDescent="0.25">
      <c r="A236" s="30"/>
      <c r="L236" s="31"/>
      <c r="M236" s="32"/>
      <c r="V236" s="33"/>
      <c r="AF236" s="33"/>
      <c r="AP236" s="31"/>
      <c r="AQ236" s="34"/>
      <c r="AX236" s="33"/>
      <c r="BA236" s="83"/>
      <c r="BB236" s="84"/>
      <c r="BC236" s="85"/>
      <c r="BD236" s="84"/>
    </row>
    <row r="237" spans="1:56" s="23" customFormat="1" x14ac:dyDescent="0.25">
      <c r="A237" s="30"/>
      <c r="L237" s="31"/>
      <c r="M237" s="32"/>
      <c r="V237" s="33"/>
      <c r="AF237" s="33"/>
      <c r="AP237" s="31"/>
      <c r="AQ237" s="34"/>
      <c r="AX237" s="33"/>
      <c r="BA237" s="83"/>
      <c r="BB237" s="84"/>
      <c r="BC237" s="85"/>
      <c r="BD237" s="84"/>
    </row>
    <row r="238" spans="1:56" s="23" customFormat="1" x14ac:dyDescent="0.25">
      <c r="A238" s="30"/>
      <c r="L238" s="31"/>
      <c r="M238" s="32"/>
      <c r="V238" s="33"/>
      <c r="AF238" s="33"/>
      <c r="AP238" s="31"/>
      <c r="AQ238" s="34"/>
      <c r="AX238" s="33"/>
      <c r="BA238" s="83"/>
      <c r="BB238" s="84"/>
      <c r="BC238" s="85"/>
      <c r="BD238" s="84"/>
    </row>
    <row r="239" spans="1:56" s="23" customFormat="1" x14ac:dyDescent="0.25">
      <c r="A239" s="30"/>
      <c r="L239" s="31"/>
      <c r="M239" s="32"/>
      <c r="V239" s="33"/>
      <c r="AF239" s="33"/>
      <c r="AP239" s="31"/>
      <c r="AQ239" s="34"/>
      <c r="AX239" s="33"/>
      <c r="BA239" s="83"/>
      <c r="BB239" s="84"/>
      <c r="BC239" s="85"/>
      <c r="BD239" s="84"/>
    </row>
    <row r="240" spans="1:56" s="23" customFormat="1" x14ac:dyDescent="0.25">
      <c r="A240" s="30"/>
      <c r="L240" s="31"/>
      <c r="M240" s="32"/>
      <c r="V240" s="33"/>
      <c r="AF240" s="33"/>
      <c r="AP240" s="31"/>
      <c r="AQ240" s="34"/>
      <c r="AX240" s="33"/>
      <c r="BA240" s="83"/>
      <c r="BB240" s="84"/>
      <c r="BC240" s="85"/>
      <c r="BD240" s="84"/>
    </row>
    <row r="241" spans="1:56" s="23" customFormat="1" x14ac:dyDescent="0.25">
      <c r="A241" s="30"/>
      <c r="L241" s="31"/>
      <c r="M241" s="32"/>
      <c r="V241" s="33"/>
      <c r="AF241" s="33"/>
      <c r="AP241" s="31"/>
      <c r="AQ241" s="34"/>
      <c r="AX241" s="33"/>
      <c r="BA241" s="83"/>
      <c r="BB241" s="84"/>
      <c r="BC241" s="85"/>
      <c r="BD241" s="84"/>
    </row>
    <row r="242" spans="1:56" s="23" customFormat="1" x14ac:dyDescent="0.25">
      <c r="A242" s="30"/>
      <c r="L242" s="31"/>
      <c r="M242" s="32"/>
      <c r="V242" s="33"/>
      <c r="AF242" s="33"/>
      <c r="AP242" s="31"/>
      <c r="AQ242" s="34"/>
      <c r="AX242" s="33"/>
      <c r="BA242" s="83"/>
      <c r="BB242" s="84"/>
      <c r="BC242" s="85"/>
      <c r="BD242" s="84"/>
    </row>
    <row r="243" spans="1:56" s="23" customFormat="1" x14ac:dyDescent="0.25">
      <c r="A243" s="30"/>
      <c r="L243" s="31"/>
      <c r="M243" s="32"/>
      <c r="V243" s="33"/>
      <c r="AF243" s="33"/>
      <c r="AP243" s="31"/>
      <c r="AQ243" s="34"/>
      <c r="AX243" s="33"/>
      <c r="BA243" s="83"/>
      <c r="BB243" s="84"/>
      <c r="BC243" s="85"/>
      <c r="BD243" s="84"/>
    </row>
    <row r="244" spans="1:56" s="23" customFormat="1" x14ac:dyDescent="0.25">
      <c r="A244" s="30"/>
      <c r="L244" s="31"/>
      <c r="M244" s="32"/>
      <c r="V244" s="33"/>
      <c r="AF244" s="33"/>
      <c r="AP244" s="31"/>
      <c r="AQ244" s="34"/>
      <c r="AX244" s="33"/>
      <c r="BA244" s="83"/>
      <c r="BB244" s="84"/>
      <c r="BC244" s="85"/>
      <c r="BD244" s="84"/>
    </row>
    <row r="245" spans="1:56" s="23" customFormat="1" x14ac:dyDescent="0.25">
      <c r="A245" s="30"/>
      <c r="L245" s="31"/>
      <c r="M245" s="32"/>
      <c r="V245" s="33"/>
      <c r="AF245" s="33"/>
      <c r="AP245" s="31"/>
      <c r="AQ245" s="34"/>
      <c r="AX245" s="33"/>
      <c r="BA245" s="83"/>
      <c r="BB245" s="84"/>
      <c r="BC245" s="85"/>
      <c r="BD245" s="84"/>
    </row>
    <row r="246" spans="1:56" s="23" customFormat="1" x14ac:dyDescent="0.25">
      <c r="A246" s="30"/>
      <c r="L246" s="31"/>
      <c r="M246" s="32"/>
      <c r="V246" s="33"/>
      <c r="AF246" s="33"/>
      <c r="AP246" s="31"/>
      <c r="AQ246" s="34"/>
      <c r="AX246" s="33"/>
      <c r="BA246" s="83"/>
      <c r="BB246" s="84"/>
      <c r="BC246" s="85"/>
      <c r="BD246" s="84"/>
    </row>
    <row r="247" spans="1:56" s="23" customFormat="1" x14ac:dyDescent="0.25">
      <c r="A247" s="30"/>
      <c r="L247" s="31"/>
      <c r="M247" s="32"/>
      <c r="V247" s="33"/>
      <c r="AF247" s="33"/>
      <c r="AP247" s="31"/>
      <c r="AQ247" s="34"/>
      <c r="AX247" s="33"/>
      <c r="BA247" s="83"/>
      <c r="BB247" s="84"/>
      <c r="BC247" s="85"/>
      <c r="BD247" s="84"/>
    </row>
    <row r="248" spans="1:56" s="23" customFormat="1" x14ac:dyDescent="0.25">
      <c r="A248" s="30"/>
      <c r="L248" s="31"/>
      <c r="M248" s="32"/>
      <c r="V248" s="33"/>
      <c r="AF248" s="33"/>
      <c r="AP248" s="31"/>
      <c r="AQ248" s="34"/>
      <c r="AX248" s="33"/>
      <c r="BA248" s="83"/>
      <c r="BB248" s="84"/>
      <c r="BC248" s="85"/>
      <c r="BD248" s="84"/>
    </row>
    <row r="249" spans="1:56" s="23" customFormat="1" x14ac:dyDescent="0.25">
      <c r="A249" s="30"/>
      <c r="L249" s="31"/>
      <c r="M249" s="32"/>
      <c r="V249" s="33"/>
      <c r="AF249" s="33"/>
      <c r="AP249" s="31"/>
      <c r="AQ249" s="34"/>
      <c r="AX249" s="33"/>
      <c r="BA249" s="83"/>
      <c r="BB249" s="84"/>
      <c r="BC249" s="85"/>
      <c r="BD249" s="84"/>
    </row>
    <row r="250" spans="1:56" s="23" customFormat="1" x14ac:dyDescent="0.25">
      <c r="A250" s="30"/>
      <c r="L250" s="31"/>
      <c r="M250" s="32"/>
      <c r="V250" s="33"/>
      <c r="AF250" s="33"/>
      <c r="AP250" s="31"/>
      <c r="AQ250" s="34"/>
      <c r="AX250" s="33"/>
      <c r="BA250" s="83"/>
      <c r="BB250" s="84"/>
      <c r="BC250" s="85"/>
      <c r="BD250" s="84"/>
    </row>
    <row r="251" spans="1:56" s="23" customFormat="1" x14ac:dyDescent="0.25">
      <c r="A251" s="30"/>
      <c r="L251" s="31"/>
      <c r="M251" s="32"/>
      <c r="V251" s="33"/>
      <c r="AF251" s="33"/>
      <c r="AP251" s="31"/>
      <c r="AQ251" s="34"/>
      <c r="AX251" s="33"/>
      <c r="BA251" s="83"/>
      <c r="BB251" s="84"/>
      <c r="BC251" s="85"/>
      <c r="BD251" s="84"/>
    </row>
    <row r="252" spans="1:56" s="23" customFormat="1" x14ac:dyDescent="0.25">
      <c r="A252" s="30"/>
      <c r="L252" s="31"/>
      <c r="M252" s="32"/>
      <c r="V252" s="33"/>
      <c r="AF252" s="33"/>
      <c r="AP252" s="31"/>
      <c r="AQ252" s="34"/>
      <c r="AX252" s="33"/>
      <c r="BA252" s="83"/>
      <c r="BB252" s="84"/>
      <c r="BC252" s="85"/>
      <c r="BD252" s="84"/>
    </row>
    <row r="253" spans="1:56" s="23" customFormat="1" x14ac:dyDescent="0.25">
      <c r="A253" s="30"/>
      <c r="L253" s="31"/>
      <c r="M253" s="32"/>
      <c r="V253" s="33"/>
      <c r="AF253" s="33"/>
      <c r="AP253" s="31"/>
      <c r="AQ253" s="34"/>
      <c r="AX253" s="33"/>
      <c r="BA253" s="83"/>
      <c r="BB253" s="84"/>
      <c r="BC253" s="85"/>
      <c r="BD253" s="84"/>
    </row>
    <row r="254" spans="1:56" s="23" customFormat="1" x14ac:dyDescent="0.25">
      <c r="A254" s="30"/>
      <c r="L254" s="31"/>
      <c r="M254" s="32"/>
      <c r="V254" s="33"/>
      <c r="AF254" s="33"/>
      <c r="AP254" s="31"/>
      <c r="AQ254" s="34"/>
      <c r="AX254" s="33"/>
      <c r="BA254" s="83"/>
      <c r="BB254" s="84"/>
      <c r="BC254" s="85"/>
      <c r="BD254" s="84"/>
    </row>
    <row r="255" spans="1:56" s="23" customFormat="1" x14ac:dyDescent="0.25">
      <c r="A255" s="30"/>
      <c r="L255" s="31"/>
      <c r="M255" s="32"/>
      <c r="V255" s="33"/>
      <c r="AF255" s="33"/>
      <c r="AP255" s="31"/>
      <c r="AQ255" s="34"/>
      <c r="AX255" s="33"/>
      <c r="BA255" s="83"/>
      <c r="BB255" s="84"/>
      <c r="BC255" s="85"/>
      <c r="BD255" s="84"/>
    </row>
    <row r="256" spans="1:56" s="23" customFormat="1" x14ac:dyDescent="0.25">
      <c r="A256" s="30"/>
      <c r="L256" s="31"/>
      <c r="M256" s="32"/>
      <c r="V256" s="33"/>
      <c r="AF256" s="33"/>
      <c r="AP256" s="31"/>
      <c r="AQ256" s="34"/>
      <c r="AX256" s="33"/>
      <c r="BA256" s="83"/>
      <c r="BB256" s="84"/>
      <c r="BC256" s="85"/>
      <c r="BD256" s="84"/>
    </row>
    <row r="257" spans="1:56" s="23" customFormat="1" x14ac:dyDescent="0.25">
      <c r="A257" s="30"/>
      <c r="L257" s="31"/>
      <c r="M257" s="32"/>
      <c r="V257" s="33"/>
      <c r="AF257" s="33"/>
      <c r="AP257" s="31"/>
      <c r="AQ257" s="34"/>
      <c r="AX257" s="33"/>
      <c r="BA257" s="83"/>
      <c r="BB257" s="84"/>
      <c r="BC257" s="85"/>
      <c r="BD257" s="84"/>
    </row>
    <row r="258" spans="1:56" s="23" customFormat="1" x14ac:dyDescent="0.25">
      <c r="A258" s="30"/>
      <c r="L258" s="31"/>
      <c r="M258" s="32"/>
      <c r="V258" s="33"/>
      <c r="AF258" s="33"/>
      <c r="AP258" s="31"/>
      <c r="AQ258" s="34"/>
      <c r="AX258" s="33"/>
      <c r="BA258" s="83"/>
      <c r="BB258" s="84"/>
      <c r="BC258" s="85"/>
      <c r="BD258" s="84"/>
    </row>
    <row r="259" spans="1:56" s="23" customFormat="1" x14ac:dyDescent="0.25">
      <c r="A259" s="30"/>
      <c r="L259" s="31"/>
      <c r="M259" s="32"/>
      <c r="V259" s="33"/>
      <c r="AF259" s="33"/>
      <c r="AP259" s="31"/>
      <c r="AQ259" s="34"/>
      <c r="AX259" s="33"/>
      <c r="BA259" s="83"/>
      <c r="BB259" s="84"/>
      <c r="BC259" s="85"/>
      <c r="BD259" s="84"/>
    </row>
    <row r="260" spans="1:56" s="23" customFormat="1" x14ac:dyDescent="0.25">
      <c r="A260" s="30"/>
      <c r="L260" s="31"/>
      <c r="M260" s="32"/>
      <c r="V260" s="33"/>
      <c r="AF260" s="33"/>
      <c r="AP260" s="31"/>
      <c r="AQ260" s="34"/>
      <c r="AX260" s="33"/>
      <c r="BA260" s="83"/>
      <c r="BB260" s="84"/>
      <c r="BC260" s="85"/>
      <c r="BD260" s="84"/>
    </row>
    <row r="261" spans="1:56" s="23" customFormat="1" x14ac:dyDescent="0.25">
      <c r="A261" s="30"/>
      <c r="L261" s="31"/>
      <c r="M261" s="32"/>
      <c r="V261" s="33"/>
      <c r="AF261" s="33"/>
      <c r="AP261" s="31"/>
      <c r="AQ261" s="34"/>
      <c r="AX261" s="33"/>
      <c r="BA261" s="83"/>
      <c r="BB261" s="84"/>
      <c r="BC261" s="85"/>
      <c r="BD261" s="84"/>
    </row>
    <row r="262" spans="1:56" s="23" customFormat="1" x14ac:dyDescent="0.25">
      <c r="A262" s="30"/>
      <c r="L262" s="31"/>
      <c r="M262" s="32"/>
      <c r="V262" s="33"/>
      <c r="AF262" s="33"/>
      <c r="AP262" s="31"/>
      <c r="AQ262" s="34"/>
      <c r="AX262" s="33"/>
      <c r="BA262" s="83"/>
      <c r="BB262" s="84"/>
      <c r="BC262" s="85"/>
      <c r="BD262" s="84"/>
    </row>
    <row r="263" spans="1:56" s="23" customFormat="1" x14ac:dyDescent="0.25">
      <c r="A263" s="30"/>
      <c r="L263" s="31"/>
      <c r="M263" s="32"/>
      <c r="V263" s="33"/>
      <c r="AF263" s="33"/>
      <c r="AP263" s="31"/>
      <c r="AQ263" s="34"/>
      <c r="AX263" s="33"/>
      <c r="BA263" s="83"/>
      <c r="BB263" s="84"/>
      <c r="BC263" s="85"/>
      <c r="BD263" s="84"/>
    </row>
    <row r="264" spans="1:56" s="23" customFormat="1" x14ac:dyDescent="0.25">
      <c r="A264" s="30"/>
      <c r="L264" s="31"/>
      <c r="M264" s="32"/>
      <c r="V264" s="33"/>
      <c r="AF264" s="33"/>
      <c r="AP264" s="31"/>
      <c r="AQ264" s="34"/>
      <c r="AX264" s="33"/>
      <c r="BA264" s="83"/>
      <c r="BB264" s="84"/>
      <c r="BC264" s="85"/>
      <c r="BD264" s="84"/>
    </row>
    <row r="265" spans="1:56" s="23" customFormat="1" x14ac:dyDescent="0.25">
      <c r="A265" s="30"/>
      <c r="L265" s="31"/>
      <c r="M265" s="32"/>
      <c r="V265" s="33"/>
      <c r="AF265" s="33"/>
      <c r="AP265" s="31"/>
      <c r="AQ265" s="34"/>
      <c r="AX265" s="33"/>
      <c r="BA265" s="83"/>
      <c r="BB265" s="84"/>
      <c r="BC265" s="85"/>
      <c r="BD265" s="84"/>
    </row>
    <row r="266" spans="1:56" s="23" customFormat="1" x14ac:dyDescent="0.25">
      <c r="A266" s="30"/>
      <c r="L266" s="31"/>
      <c r="M266" s="32"/>
      <c r="V266" s="33"/>
      <c r="AF266" s="33"/>
      <c r="AP266" s="31"/>
      <c r="AQ266" s="34"/>
      <c r="AX266" s="33"/>
      <c r="BA266" s="83"/>
      <c r="BB266" s="84"/>
      <c r="BC266" s="85"/>
      <c r="BD266" s="84"/>
    </row>
    <row r="267" spans="1:56" s="23" customFormat="1" x14ac:dyDescent="0.25">
      <c r="A267" s="30"/>
      <c r="L267" s="31"/>
      <c r="M267" s="32"/>
      <c r="V267" s="33"/>
      <c r="AF267" s="33"/>
      <c r="AP267" s="31"/>
      <c r="AQ267" s="34"/>
      <c r="AX267" s="33"/>
      <c r="BA267" s="83"/>
      <c r="BB267" s="84"/>
      <c r="BC267" s="85"/>
      <c r="BD267" s="84"/>
    </row>
    <row r="268" spans="1:56" s="23" customFormat="1" x14ac:dyDescent="0.25">
      <c r="A268" s="30"/>
      <c r="L268" s="31"/>
      <c r="M268" s="32"/>
      <c r="V268" s="33"/>
      <c r="AF268" s="33"/>
      <c r="AP268" s="31"/>
      <c r="AQ268" s="34"/>
      <c r="AX268" s="33"/>
      <c r="BA268" s="83"/>
      <c r="BB268" s="84"/>
      <c r="BC268" s="85"/>
      <c r="BD268" s="84"/>
    </row>
    <row r="269" spans="1:56" s="23" customFormat="1" x14ac:dyDescent="0.25">
      <c r="A269" s="30"/>
      <c r="L269" s="31"/>
      <c r="M269" s="32"/>
      <c r="V269" s="33"/>
      <c r="AF269" s="33"/>
      <c r="AP269" s="31"/>
      <c r="AQ269" s="34"/>
      <c r="AX269" s="33"/>
      <c r="BA269" s="83"/>
      <c r="BB269" s="84"/>
      <c r="BC269" s="85"/>
      <c r="BD269" s="84"/>
    </row>
    <row r="270" spans="1:56" s="23" customFormat="1" x14ac:dyDescent="0.25">
      <c r="A270" s="30"/>
      <c r="L270" s="31"/>
      <c r="M270" s="32"/>
      <c r="V270" s="33"/>
      <c r="AF270" s="33"/>
      <c r="AP270" s="31"/>
      <c r="AQ270" s="34"/>
      <c r="AX270" s="33"/>
      <c r="BA270" s="83"/>
      <c r="BB270" s="84"/>
      <c r="BC270" s="85"/>
      <c r="BD270" s="84"/>
    </row>
    <row r="271" spans="1:56" s="23" customFormat="1" x14ac:dyDescent="0.25">
      <c r="A271" s="30"/>
      <c r="L271" s="31"/>
      <c r="M271" s="32"/>
      <c r="V271" s="33"/>
      <c r="AF271" s="33"/>
      <c r="AP271" s="31"/>
      <c r="AQ271" s="34"/>
      <c r="AX271" s="33"/>
      <c r="BA271" s="83"/>
      <c r="BB271" s="84"/>
      <c r="BC271" s="85"/>
      <c r="BD271" s="84"/>
    </row>
    <row r="272" spans="1:56" s="23" customFormat="1" x14ac:dyDescent="0.25">
      <c r="A272" s="30"/>
      <c r="L272" s="31"/>
      <c r="M272" s="32"/>
      <c r="V272" s="33"/>
      <c r="AF272" s="33"/>
      <c r="AP272" s="31"/>
      <c r="AQ272" s="34"/>
      <c r="AX272" s="33"/>
      <c r="BA272" s="83"/>
      <c r="BB272" s="84"/>
      <c r="BC272" s="85"/>
      <c r="BD272" s="84"/>
    </row>
    <row r="273" spans="1:56" s="23" customFormat="1" x14ac:dyDescent="0.25">
      <c r="A273" s="30"/>
      <c r="L273" s="31"/>
      <c r="M273" s="32"/>
      <c r="V273" s="33"/>
      <c r="AF273" s="33"/>
      <c r="AP273" s="31"/>
      <c r="AQ273" s="34"/>
      <c r="AX273" s="33"/>
      <c r="BA273" s="83"/>
      <c r="BB273" s="84"/>
      <c r="BC273" s="85"/>
      <c r="BD273" s="84"/>
    </row>
    <row r="274" spans="1:56" s="23" customFormat="1" x14ac:dyDescent="0.25">
      <c r="A274" s="30"/>
      <c r="L274" s="31"/>
      <c r="M274" s="32"/>
      <c r="V274" s="33"/>
      <c r="AF274" s="33"/>
      <c r="AP274" s="31"/>
      <c r="AQ274" s="34"/>
      <c r="AX274" s="33"/>
      <c r="BA274" s="83"/>
      <c r="BB274" s="84"/>
      <c r="BC274" s="85"/>
      <c r="BD274" s="84"/>
    </row>
    <row r="275" spans="1:56" s="23" customFormat="1" x14ac:dyDescent="0.25">
      <c r="A275" s="30"/>
      <c r="L275" s="31"/>
      <c r="M275" s="32"/>
      <c r="V275" s="33"/>
      <c r="AF275" s="33"/>
      <c r="AP275" s="31"/>
      <c r="AQ275" s="34"/>
      <c r="AX275" s="33"/>
      <c r="BA275" s="83"/>
      <c r="BB275" s="84"/>
      <c r="BC275" s="85"/>
      <c r="BD275" s="84"/>
    </row>
    <row r="276" spans="1:56" s="23" customFormat="1" x14ac:dyDescent="0.25">
      <c r="A276" s="30"/>
      <c r="L276" s="31"/>
      <c r="M276" s="32"/>
      <c r="V276" s="33"/>
      <c r="AF276" s="33"/>
      <c r="AP276" s="31"/>
      <c r="AQ276" s="34"/>
      <c r="AX276" s="33"/>
      <c r="BA276" s="83"/>
      <c r="BB276" s="84"/>
      <c r="BC276" s="85"/>
      <c r="BD276" s="84"/>
    </row>
    <row r="277" spans="1:56" s="23" customFormat="1" x14ac:dyDescent="0.25">
      <c r="A277" s="30"/>
      <c r="L277" s="31"/>
      <c r="M277" s="32"/>
      <c r="V277" s="33"/>
      <c r="AF277" s="33"/>
      <c r="AP277" s="31"/>
      <c r="AQ277" s="34"/>
      <c r="AX277" s="33"/>
      <c r="BA277" s="83"/>
      <c r="BB277" s="84"/>
      <c r="BC277" s="85"/>
      <c r="BD277" s="84"/>
    </row>
    <row r="278" spans="1:56" s="23" customFormat="1" x14ac:dyDescent="0.25">
      <c r="A278" s="30"/>
      <c r="L278" s="31"/>
      <c r="M278" s="32"/>
      <c r="V278" s="33"/>
      <c r="AF278" s="33"/>
      <c r="AP278" s="31"/>
      <c r="AQ278" s="34"/>
      <c r="AX278" s="33"/>
      <c r="BA278" s="83"/>
      <c r="BB278" s="84"/>
      <c r="BC278" s="85"/>
      <c r="BD278" s="84"/>
    </row>
    <row r="279" spans="1:56" s="23" customFormat="1" x14ac:dyDescent="0.25">
      <c r="A279" s="30"/>
      <c r="L279" s="31"/>
      <c r="M279" s="32"/>
      <c r="V279" s="33"/>
      <c r="AF279" s="33"/>
      <c r="AP279" s="31"/>
      <c r="AQ279" s="34"/>
      <c r="AX279" s="33"/>
      <c r="BA279" s="83"/>
      <c r="BB279" s="84"/>
      <c r="BC279" s="85"/>
      <c r="BD279" s="84"/>
    </row>
    <row r="280" spans="1:56" s="23" customFormat="1" x14ac:dyDescent="0.25">
      <c r="A280" s="30"/>
      <c r="L280" s="31"/>
      <c r="M280" s="32"/>
      <c r="V280" s="33"/>
      <c r="AF280" s="33"/>
      <c r="AP280" s="31"/>
      <c r="AQ280" s="34"/>
      <c r="AX280" s="33"/>
      <c r="BA280" s="83"/>
      <c r="BB280" s="84"/>
      <c r="BC280" s="85"/>
      <c r="BD280" s="84"/>
    </row>
    <row r="281" spans="1:56" s="23" customFormat="1" x14ac:dyDescent="0.25">
      <c r="A281" s="30"/>
      <c r="L281" s="31"/>
      <c r="M281" s="32"/>
      <c r="V281" s="33"/>
      <c r="AF281" s="33"/>
      <c r="AP281" s="31"/>
      <c r="AQ281" s="34"/>
      <c r="AX281" s="33"/>
      <c r="BA281" s="83"/>
      <c r="BB281" s="84"/>
      <c r="BC281" s="85"/>
      <c r="BD281" s="84"/>
    </row>
    <row r="282" spans="1:56" s="23" customFormat="1" x14ac:dyDescent="0.25">
      <c r="A282" s="30"/>
      <c r="L282" s="31"/>
      <c r="M282" s="32"/>
      <c r="V282" s="33"/>
      <c r="AF282" s="33"/>
      <c r="AP282" s="31"/>
      <c r="AQ282" s="34"/>
      <c r="AX282" s="33"/>
      <c r="BA282" s="83"/>
      <c r="BB282" s="84"/>
      <c r="BC282" s="85"/>
      <c r="BD282" s="84"/>
    </row>
    <row r="283" spans="1:56" s="23" customFormat="1" x14ac:dyDescent="0.25">
      <c r="A283" s="30"/>
      <c r="L283" s="31"/>
      <c r="M283" s="32"/>
      <c r="V283" s="33"/>
      <c r="AF283" s="33"/>
      <c r="AP283" s="31"/>
      <c r="AQ283" s="34"/>
      <c r="AX283" s="33"/>
      <c r="BA283" s="83"/>
      <c r="BB283" s="84"/>
      <c r="BC283" s="85"/>
      <c r="BD283" s="84"/>
    </row>
    <row r="284" spans="1:56" s="23" customFormat="1" x14ac:dyDescent="0.25">
      <c r="A284" s="30"/>
      <c r="L284" s="31"/>
      <c r="M284" s="32"/>
      <c r="V284" s="33"/>
      <c r="AF284" s="33"/>
      <c r="AP284" s="31"/>
      <c r="AQ284" s="34"/>
      <c r="AX284" s="33"/>
      <c r="BA284" s="83"/>
      <c r="BB284" s="84"/>
      <c r="BC284" s="85"/>
      <c r="BD284" s="84"/>
    </row>
    <row r="285" spans="1:56" s="23" customFormat="1" x14ac:dyDescent="0.25">
      <c r="A285" s="30"/>
      <c r="L285" s="31"/>
      <c r="M285" s="32"/>
      <c r="V285" s="33"/>
      <c r="AF285" s="33"/>
      <c r="AP285" s="31"/>
      <c r="AQ285" s="34"/>
      <c r="AX285" s="33"/>
      <c r="BA285" s="83"/>
      <c r="BB285" s="84"/>
      <c r="BC285" s="85"/>
      <c r="BD285" s="84"/>
    </row>
    <row r="286" spans="1:56" s="23" customFormat="1" x14ac:dyDescent="0.25">
      <c r="A286" s="30"/>
      <c r="L286" s="31"/>
      <c r="M286" s="32"/>
      <c r="V286" s="33"/>
      <c r="AF286" s="33"/>
      <c r="AP286" s="31"/>
      <c r="AQ286" s="34"/>
      <c r="AX286" s="33"/>
      <c r="BA286" s="83"/>
      <c r="BB286" s="84"/>
      <c r="BC286" s="85"/>
      <c r="BD286" s="84"/>
    </row>
    <row r="287" spans="1:56" s="23" customFormat="1" x14ac:dyDescent="0.25">
      <c r="A287" s="30"/>
      <c r="L287" s="31"/>
      <c r="M287" s="32"/>
      <c r="V287" s="33"/>
      <c r="AF287" s="33"/>
      <c r="AP287" s="31"/>
      <c r="AQ287" s="34"/>
      <c r="AX287" s="33"/>
      <c r="BA287" s="83"/>
      <c r="BB287" s="84"/>
      <c r="BC287" s="85"/>
      <c r="BD287" s="84"/>
    </row>
    <row r="288" spans="1:56" s="23" customFormat="1" x14ac:dyDescent="0.25">
      <c r="A288" s="30"/>
      <c r="L288" s="31"/>
      <c r="M288" s="32"/>
      <c r="V288" s="33"/>
      <c r="AF288" s="33"/>
      <c r="AP288" s="31"/>
      <c r="AQ288" s="34"/>
      <c r="AX288" s="33"/>
      <c r="BA288" s="83"/>
      <c r="BB288" s="84"/>
      <c r="BC288" s="85"/>
      <c r="BD288" s="84"/>
    </row>
    <row r="289" spans="1:56" s="23" customFormat="1" x14ac:dyDescent="0.25">
      <c r="A289" s="30"/>
      <c r="L289" s="31"/>
      <c r="M289" s="32"/>
      <c r="V289" s="33"/>
      <c r="AF289" s="33"/>
      <c r="AP289" s="31"/>
      <c r="AQ289" s="34"/>
      <c r="AX289" s="33"/>
      <c r="BA289" s="83"/>
      <c r="BB289" s="84"/>
      <c r="BC289" s="85"/>
      <c r="BD289" s="84"/>
    </row>
    <row r="290" spans="1:56" s="23" customFormat="1" x14ac:dyDescent="0.25">
      <c r="A290" s="30"/>
      <c r="L290" s="31"/>
      <c r="M290" s="32"/>
      <c r="V290" s="33"/>
      <c r="AF290" s="33"/>
      <c r="AP290" s="31"/>
      <c r="AQ290" s="34"/>
      <c r="AX290" s="33"/>
      <c r="BA290" s="83"/>
      <c r="BB290" s="84"/>
      <c r="BC290" s="85"/>
      <c r="BD290" s="84"/>
    </row>
    <row r="291" spans="1:56" s="23" customFormat="1" x14ac:dyDescent="0.25">
      <c r="A291" s="30"/>
      <c r="L291" s="31"/>
      <c r="M291" s="32"/>
      <c r="V291" s="33"/>
      <c r="AF291" s="33"/>
      <c r="AP291" s="31"/>
      <c r="AQ291" s="34"/>
      <c r="AX291" s="33"/>
      <c r="BA291" s="83"/>
      <c r="BB291" s="84"/>
      <c r="BC291" s="85"/>
      <c r="BD291" s="84"/>
    </row>
    <row r="292" spans="1:56" s="23" customFormat="1" x14ac:dyDescent="0.25">
      <c r="A292" s="30"/>
      <c r="L292" s="31"/>
      <c r="M292" s="32"/>
      <c r="V292" s="33"/>
      <c r="AF292" s="33"/>
      <c r="AP292" s="31"/>
      <c r="AQ292" s="34"/>
      <c r="AX292" s="33"/>
      <c r="BA292" s="83"/>
      <c r="BB292" s="84"/>
      <c r="BC292" s="85"/>
      <c r="BD292" s="84"/>
    </row>
    <row r="293" spans="1:56" s="23" customFormat="1" x14ac:dyDescent="0.25">
      <c r="A293" s="30"/>
      <c r="L293" s="31"/>
      <c r="M293" s="32"/>
      <c r="V293" s="33"/>
      <c r="AF293" s="33"/>
      <c r="AP293" s="31"/>
      <c r="AQ293" s="34"/>
      <c r="AX293" s="33"/>
      <c r="BA293" s="83"/>
      <c r="BB293" s="84"/>
      <c r="BC293" s="85"/>
      <c r="BD293" s="84"/>
    </row>
    <row r="294" spans="1:56" s="23" customFormat="1" x14ac:dyDescent="0.25">
      <c r="A294" s="30"/>
      <c r="L294" s="31"/>
      <c r="M294" s="32"/>
      <c r="V294" s="33"/>
      <c r="AF294" s="33"/>
      <c r="AP294" s="31"/>
      <c r="AQ294" s="34"/>
      <c r="AX294" s="33"/>
      <c r="BA294" s="83"/>
      <c r="BB294" s="84"/>
      <c r="BC294" s="85"/>
      <c r="BD294" s="84"/>
    </row>
    <row r="295" spans="1:56" s="23" customFormat="1" x14ac:dyDescent="0.25">
      <c r="A295" s="30"/>
      <c r="L295" s="31"/>
      <c r="M295" s="32"/>
      <c r="V295" s="33"/>
      <c r="AF295" s="33"/>
      <c r="AP295" s="31"/>
      <c r="AQ295" s="34"/>
      <c r="AX295" s="33"/>
      <c r="BA295" s="83"/>
      <c r="BB295" s="84"/>
      <c r="BC295" s="85"/>
      <c r="BD295" s="84"/>
    </row>
    <row r="296" spans="1:56" s="23" customFormat="1" x14ac:dyDescent="0.25">
      <c r="A296" s="30"/>
      <c r="L296" s="31"/>
      <c r="M296" s="32"/>
      <c r="V296" s="33"/>
      <c r="AF296" s="33"/>
      <c r="AP296" s="31"/>
      <c r="AQ296" s="34"/>
      <c r="AX296" s="33"/>
      <c r="BA296" s="83"/>
      <c r="BB296" s="84"/>
      <c r="BC296" s="85"/>
      <c r="BD296" s="84"/>
    </row>
    <row r="297" spans="1:56" s="23" customFormat="1" x14ac:dyDescent="0.25">
      <c r="A297" s="30"/>
      <c r="L297" s="31"/>
      <c r="M297" s="32"/>
      <c r="V297" s="33"/>
      <c r="AF297" s="33"/>
      <c r="AP297" s="31"/>
      <c r="AQ297" s="34"/>
      <c r="AX297" s="33"/>
      <c r="BA297" s="83"/>
      <c r="BB297" s="84"/>
      <c r="BC297" s="85"/>
      <c r="BD297" s="84"/>
    </row>
    <row r="298" spans="1:56" s="23" customFormat="1" x14ac:dyDescent="0.25">
      <c r="A298" s="30"/>
      <c r="L298" s="31"/>
      <c r="M298" s="32"/>
      <c r="V298" s="33"/>
      <c r="AF298" s="33"/>
      <c r="AP298" s="31"/>
      <c r="AQ298" s="34"/>
      <c r="AX298" s="33"/>
      <c r="BA298" s="83"/>
      <c r="BB298" s="84"/>
      <c r="BC298" s="85"/>
      <c r="BD298" s="84"/>
    </row>
    <row r="299" spans="1:56" s="23" customFormat="1" x14ac:dyDescent="0.25">
      <c r="A299" s="30"/>
      <c r="L299" s="31"/>
      <c r="M299" s="32"/>
      <c r="V299" s="33"/>
      <c r="AF299" s="33"/>
      <c r="AP299" s="31"/>
      <c r="AQ299" s="34"/>
      <c r="AX299" s="33"/>
      <c r="BA299" s="83"/>
      <c r="BB299" s="84"/>
      <c r="BC299" s="85"/>
      <c r="BD299" s="84"/>
    </row>
    <row r="300" spans="1:56" s="23" customFormat="1" x14ac:dyDescent="0.25">
      <c r="A300" s="30"/>
      <c r="L300" s="31"/>
      <c r="M300" s="32"/>
      <c r="V300" s="33"/>
      <c r="AF300" s="33"/>
      <c r="AP300" s="31"/>
      <c r="AQ300" s="34"/>
      <c r="AX300" s="33"/>
      <c r="BA300" s="83"/>
      <c r="BB300" s="84"/>
      <c r="BC300" s="85"/>
      <c r="BD300" s="84"/>
    </row>
    <row r="301" spans="1:56" s="23" customFormat="1" x14ac:dyDescent="0.25">
      <c r="A301" s="30"/>
      <c r="L301" s="31"/>
      <c r="M301" s="32"/>
      <c r="V301" s="33"/>
      <c r="AF301" s="33"/>
      <c r="AP301" s="31"/>
      <c r="AQ301" s="34"/>
      <c r="AX301" s="33"/>
      <c r="BA301" s="83"/>
      <c r="BB301" s="84"/>
      <c r="BC301" s="85"/>
      <c r="BD301" s="84"/>
    </row>
    <row r="302" spans="1:56" s="23" customFormat="1" x14ac:dyDescent="0.25">
      <c r="A302" s="30"/>
      <c r="L302" s="31"/>
      <c r="M302" s="32"/>
      <c r="V302" s="33"/>
      <c r="AF302" s="33"/>
      <c r="AP302" s="31"/>
      <c r="AQ302" s="34"/>
      <c r="AX302" s="33"/>
      <c r="BA302" s="83"/>
      <c r="BB302" s="84"/>
      <c r="BC302" s="85"/>
      <c r="BD302" s="84"/>
    </row>
    <row r="303" spans="1:56" s="23" customFormat="1" x14ac:dyDescent="0.25">
      <c r="A303" s="30"/>
      <c r="L303" s="31"/>
      <c r="M303" s="32"/>
      <c r="V303" s="33"/>
      <c r="AF303" s="33"/>
      <c r="AP303" s="31"/>
      <c r="AQ303" s="34"/>
      <c r="AX303" s="33"/>
      <c r="BA303" s="83"/>
      <c r="BB303" s="84"/>
      <c r="BC303" s="85"/>
      <c r="BD303" s="84"/>
    </row>
    <row r="304" spans="1:56" s="23" customFormat="1" x14ac:dyDescent="0.25">
      <c r="A304" s="30"/>
      <c r="L304" s="31"/>
      <c r="M304" s="32"/>
      <c r="V304" s="33"/>
      <c r="AF304" s="33"/>
      <c r="AP304" s="31"/>
      <c r="AQ304" s="34"/>
      <c r="AX304" s="33"/>
      <c r="BA304" s="83"/>
      <c r="BB304" s="84"/>
      <c r="BC304" s="85"/>
      <c r="BD304" s="84"/>
    </row>
    <row r="305" spans="1:56" s="23" customFormat="1" x14ac:dyDescent="0.25">
      <c r="A305" s="30"/>
      <c r="L305" s="31"/>
      <c r="M305" s="32"/>
      <c r="V305" s="33"/>
      <c r="AF305" s="33"/>
      <c r="AP305" s="31"/>
      <c r="AQ305" s="34"/>
      <c r="AX305" s="33"/>
      <c r="BA305" s="83"/>
      <c r="BB305" s="84"/>
      <c r="BC305" s="85"/>
      <c r="BD305" s="84"/>
    </row>
    <row r="306" spans="1:56" s="23" customFormat="1" x14ac:dyDescent="0.25">
      <c r="A306" s="30"/>
      <c r="L306" s="31"/>
      <c r="M306" s="32"/>
      <c r="V306" s="33"/>
      <c r="AF306" s="33"/>
      <c r="AP306" s="31"/>
      <c r="AQ306" s="34"/>
      <c r="AX306" s="33"/>
      <c r="BA306" s="83"/>
      <c r="BB306" s="84"/>
      <c r="BC306" s="85"/>
      <c r="BD306" s="84"/>
    </row>
    <row r="307" spans="1:56" s="23" customFormat="1" x14ac:dyDescent="0.25">
      <c r="A307" s="30"/>
      <c r="L307" s="31"/>
      <c r="M307" s="32"/>
      <c r="V307" s="33"/>
      <c r="AF307" s="33"/>
      <c r="AP307" s="31"/>
      <c r="AQ307" s="34"/>
      <c r="AX307" s="33"/>
      <c r="BA307" s="83"/>
      <c r="BB307" s="84"/>
      <c r="BC307" s="85"/>
      <c r="BD307" s="84"/>
    </row>
    <row r="308" spans="1:56" s="23" customFormat="1" x14ac:dyDescent="0.25">
      <c r="A308" s="30"/>
      <c r="L308" s="31"/>
      <c r="M308" s="32"/>
      <c r="V308" s="33"/>
      <c r="AF308" s="33"/>
      <c r="AP308" s="31"/>
      <c r="AQ308" s="34"/>
      <c r="AX308" s="33"/>
      <c r="BA308" s="83"/>
      <c r="BB308" s="84"/>
      <c r="BC308" s="85"/>
      <c r="BD308" s="84"/>
    </row>
    <row r="309" spans="1:56" s="23" customFormat="1" x14ac:dyDescent="0.25">
      <c r="A309" s="30"/>
      <c r="L309" s="31"/>
      <c r="M309" s="32"/>
      <c r="V309" s="33"/>
      <c r="AF309" s="33"/>
      <c r="AP309" s="31"/>
      <c r="AQ309" s="34"/>
      <c r="AX309" s="33"/>
      <c r="BA309" s="83"/>
      <c r="BB309" s="84"/>
      <c r="BC309" s="85"/>
      <c r="BD309" s="84"/>
    </row>
    <row r="310" spans="1:56" s="23" customFormat="1" x14ac:dyDescent="0.25">
      <c r="A310" s="30"/>
      <c r="L310" s="31"/>
      <c r="M310" s="32"/>
      <c r="V310" s="33"/>
      <c r="AF310" s="33"/>
      <c r="AP310" s="31"/>
      <c r="AQ310" s="34"/>
      <c r="AX310" s="33"/>
      <c r="BA310" s="83"/>
      <c r="BB310" s="84"/>
      <c r="BC310" s="85"/>
      <c r="BD310" s="84"/>
    </row>
    <row r="311" spans="1:56" s="23" customFormat="1" x14ac:dyDescent="0.25">
      <c r="A311" s="30"/>
      <c r="L311" s="31"/>
      <c r="M311" s="32"/>
      <c r="V311" s="33"/>
      <c r="AF311" s="33"/>
      <c r="AP311" s="31"/>
      <c r="AQ311" s="34"/>
      <c r="AX311" s="33"/>
      <c r="BA311" s="83"/>
      <c r="BB311" s="84"/>
      <c r="BC311" s="85"/>
      <c r="BD311" s="84"/>
    </row>
    <row r="312" spans="1:56" s="23" customFormat="1" x14ac:dyDescent="0.25">
      <c r="A312" s="30"/>
      <c r="L312" s="31"/>
      <c r="M312" s="32"/>
      <c r="V312" s="33"/>
      <c r="AF312" s="33"/>
      <c r="AP312" s="31"/>
      <c r="AQ312" s="34"/>
      <c r="AX312" s="33"/>
      <c r="BA312" s="83"/>
      <c r="BB312" s="84"/>
      <c r="BC312" s="85"/>
      <c r="BD312" s="84"/>
    </row>
    <row r="313" spans="1:56" s="23" customFormat="1" x14ac:dyDescent="0.25">
      <c r="A313" s="30"/>
      <c r="L313" s="31"/>
      <c r="M313" s="32"/>
      <c r="V313" s="33"/>
      <c r="AF313" s="33"/>
      <c r="AP313" s="31"/>
      <c r="AQ313" s="34"/>
      <c r="AX313" s="33"/>
      <c r="BA313" s="83"/>
      <c r="BB313" s="84"/>
      <c r="BC313" s="85"/>
      <c r="BD313" s="84"/>
    </row>
    <row r="314" spans="1:56" s="23" customFormat="1" x14ac:dyDescent="0.25">
      <c r="A314" s="30"/>
      <c r="L314" s="31"/>
      <c r="M314" s="32"/>
      <c r="V314" s="33"/>
      <c r="AF314" s="33"/>
      <c r="AP314" s="31"/>
      <c r="AQ314" s="34"/>
      <c r="AX314" s="33"/>
      <c r="BA314" s="83"/>
      <c r="BB314" s="84"/>
      <c r="BC314" s="85"/>
      <c r="BD314" s="84"/>
    </row>
    <row r="315" spans="1:56" s="23" customFormat="1" x14ac:dyDescent="0.25">
      <c r="A315" s="30"/>
      <c r="L315" s="31"/>
      <c r="M315" s="32"/>
      <c r="V315" s="33"/>
      <c r="AF315" s="33"/>
      <c r="AP315" s="31"/>
      <c r="AQ315" s="34"/>
      <c r="AX315" s="33"/>
      <c r="BA315" s="83"/>
      <c r="BB315" s="84"/>
      <c r="BC315" s="85"/>
      <c r="BD315" s="84"/>
    </row>
    <row r="316" spans="1:56" s="23" customFormat="1" x14ac:dyDescent="0.25">
      <c r="A316" s="30"/>
      <c r="L316" s="31"/>
      <c r="M316" s="32"/>
      <c r="V316" s="33"/>
      <c r="AF316" s="33"/>
      <c r="AP316" s="31"/>
      <c r="AQ316" s="34"/>
      <c r="AX316" s="33"/>
      <c r="BA316" s="83"/>
      <c r="BB316" s="84"/>
      <c r="BC316" s="85"/>
      <c r="BD316" s="84"/>
    </row>
    <row r="317" spans="1:56" s="23" customFormat="1" x14ac:dyDescent="0.25">
      <c r="A317" s="30"/>
      <c r="L317" s="31"/>
      <c r="M317" s="32"/>
      <c r="V317" s="33"/>
      <c r="AF317" s="33"/>
      <c r="AP317" s="31"/>
      <c r="AQ317" s="34"/>
      <c r="AX317" s="33"/>
      <c r="BA317" s="83"/>
      <c r="BB317" s="84"/>
      <c r="BC317" s="85"/>
      <c r="BD317" s="84"/>
    </row>
    <row r="318" spans="1:56" s="23" customFormat="1" x14ac:dyDescent="0.25">
      <c r="A318" s="30"/>
      <c r="L318" s="31"/>
      <c r="M318" s="32"/>
      <c r="V318" s="33"/>
      <c r="AF318" s="33"/>
      <c r="AP318" s="31"/>
      <c r="AQ318" s="34"/>
      <c r="AX318" s="33"/>
      <c r="BA318" s="83"/>
      <c r="BB318" s="84"/>
      <c r="BC318" s="85"/>
      <c r="BD318" s="84"/>
    </row>
    <row r="319" spans="1:56" s="23" customFormat="1" x14ac:dyDescent="0.25">
      <c r="A319" s="30"/>
      <c r="L319" s="31"/>
      <c r="M319" s="32"/>
      <c r="V319" s="33"/>
      <c r="AF319" s="33"/>
      <c r="AP319" s="31"/>
      <c r="AQ319" s="34"/>
      <c r="AX319" s="33"/>
      <c r="BA319" s="83"/>
      <c r="BB319" s="84"/>
      <c r="BC319" s="85"/>
      <c r="BD319" s="84"/>
    </row>
    <row r="320" spans="1:56" s="23" customFormat="1" x14ac:dyDescent="0.25">
      <c r="A320" s="30"/>
      <c r="L320" s="31"/>
      <c r="M320" s="32"/>
      <c r="V320" s="33"/>
      <c r="AF320" s="33"/>
      <c r="AP320" s="31"/>
      <c r="AQ320" s="34"/>
      <c r="AX320" s="33"/>
      <c r="BA320" s="83"/>
      <c r="BB320" s="84"/>
      <c r="BC320" s="85"/>
      <c r="BD320" s="84"/>
    </row>
    <row r="321" spans="1:56" s="23" customFormat="1" x14ac:dyDescent="0.25">
      <c r="A321" s="30"/>
      <c r="L321" s="31"/>
      <c r="M321" s="32"/>
      <c r="V321" s="33"/>
      <c r="AF321" s="33"/>
      <c r="AP321" s="31"/>
      <c r="AQ321" s="34"/>
      <c r="AX321" s="33"/>
      <c r="BA321" s="83"/>
      <c r="BB321" s="84"/>
      <c r="BC321" s="85"/>
      <c r="BD321" s="84"/>
    </row>
    <row r="322" spans="1:56" s="23" customFormat="1" x14ac:dyDescent="0.25">
      <c r="A322" s="30"/>
      <c r="L322" s="31"/>
      <c r="M322" s="32"/>
      <c r="V322" s="33"/>
      <c r="AF322" s="33"/>
      <c r="AP322" s="31"/>
      <c r="AQ322" s="34"/>
      <c r="AX322" s="33"/>
      <c r="BA322" s="83"/>
      <c r="BB322" s="84"/>
      <c r="BC322" s="85"/>
      <c r="BD322" s="84"/>
    </row>
    <row r="323" spans="1:56" s="23" customFormat="1" x14ac:dyDescent="0.25">
      <c r="A323" s="30"/>
      <c r="L323" s="31"/>
      <c r="M323" s="32"/>
      <c r="V323" s="33"/>
      <c r="AF323" s="33"/>
      <c r="AP323" s="31"/>
      <c r="AQ323" s="34"/>
      <c r="AX323" s="33"/>
      <c r="BA323" s="83"/>
      <c r="BB323" s="84"/>
      <c r="BC323" s="85"/>
      <c r="BD323" s="84"/>
    </row>
    <row r="324" spans="1:56" s="23" customFormat="1" x14ac:dyDescent="0.25">
      <c r="A324" s="30"/>
      <c r="L324" s="31"/>
      <c r="M324" s="32"/>
      <c r="V324" s="33"/>
      <c r="AF324" s="33"/>
      <c r="AP324" s="31"/>
      <c r="AQ324" s="34"/>
      <c r="AX324" s="33"/>
      <c r="BA324" s="83"/>
      <c r="BB324" s="84"/>
      <c r="BC324" s="85"/>
      <c r="BD324" s="84"/>
    </row>
    <row r="325" spans="1:56" s="23" customFormat="1" x14ac:dyDescent="0.25">
      <c r="A325" s="30"/>
      <c r="L325" s="31"/>
      <c r="M325" s="32"/>
      <c r="V325" s="33"/>
      <c r="AF325" s="33"/>
      <c r="AP325" s="31"/>
      <c r="AQ325" s="34"/>
      <c r="AX325" s="33"/>
      <c r="BA325" s="83"/>
      <c r="BB325" s="84"/>
      <c r="BC325" s="85"/>
      <c r="BD325" s="84"/>
    </row>
    <row r="326" spans="1:56" s="23" customFormat="1" x14ac:dyDescent="0.25">
      <c r="A326" s="30"/>
      <c r="L326" s="31"/>
      <c r="M326" s="32"/>
      <c r="V326" s="33"/>
      <c r="AF326" s="33"/>
      <c r="AP326" s="31"/>
      <c r="AQ326" s="34"/>
      <c r="AX326" s="33"/>
      <c r="BA326" s="83"/>
      <c r="BB326" s="84"/>
      <c r="BC326" s="85"/>
      <c r="BD326" s="84"/>
    </row>
    <row r="327" spans="1:56" s="23" customFormat="1" x14ac:dyDescent="0.25">
      <c r="A327" s="30"/>
      <c r="L327" s="31"/>
      <c r="M327" s="32"/>
      <c r="V327" s="33"/>
      <c r="AF327" s="33"/>
      <c r="AP327" s="31"/>
      <c r="AQ327" s="34"/>
      <c r="AX327" s="33"/>
      <c r="BA327" s="83"/>
      <c r="BB327" s="84"/>
      <c r="BC327" s="85"/>
      <c r="BD327" s="84"/>
    </row>
    <row r="328" spans="1:56" s="23" customFormat="1" x14ac:dyDescent="0.25">
      <c r="A328" s="30"/>
      <c r="L328" s="31"/>
      <c r="M328" s="32"/>
      <c r="V328" s="33"/>
      <c r="AF328" s="33"/>
      <c r="AP328" s="31"/>
      <c r="AQ328" s="34"/>
      <c r="AX328" s="33"/>
      <c r="BA328" s="83"/>
      <c r="BB328" s="84"/>
      <c r="BC328" s="85"/>
      <c r="BD328" s="84"/>
    </row>
    <row r="329" spans="1:56" s="23" customFormat="1" x14ac:dyDescent="0.25">
      <c r="A329" s="30"/>
      <c r="L329" s="31"/>
      <c r="M329" s="32"/>
      <c r="V329" s="33"/>
      <c r="AF329" s="33"/>
      <c r="AP329" s="31"/>
      <c r="AQ329" s="34"/>
      <c r="AX329" s="33"/>
      <c r="BA329" s="83"/>
      <c r="BB329" s="84"/>
      <c r="BC329" s="85"/>
      <c r="BD329" s="84"/>
    </row>
    <row r="330" spans="1:56" s="23" customFormat="1" x14ac:dyDescent="0.25">
      <c r="A330" s="30"/>
      <c r="L330" s="31"/>
      <c r="M330" s="32"/>
      <c r="V330" s="33"/>
      <c r="AF330" s="33"/>
      <c r="AP330" s="31"/>
      <c r="AQ330" s="34"/>
      <c r="AX330" s="33"/>
      <c r="BA330" s="83"/>
      <c r="BB330" s="84"/>
      <c r="BC330" s="85"/>
      <c r="BD330" s="84"/>
    </row>
    <row r="331" spans="1:56" s="23" customFormat="1" x14ac:dyDescent="0.25">
      <c r="A331" s="30"/>
      <c r="L331" s="31"/>
      <c r="M331" s="32"/>
      <c r="V331" s="33"/>
      <c r="AF331" s="33"/>
      <c r="AP331" s="31"/>
      <c r="AQ331" s="34"/>
      <c r="AX331" s="33"/>
      <c r="BA331" s="83"/>
      <c r="BB331" s="84"/>
      <c r="BC331" s="85"/>
      <c r="BD331" s="84"/>
    </row>
    <row r="332" spans="1:56" s="23" customFormat="1" x14ac:dyDescent="0.25">
      <c r="A332" s="30"/>
      <c r="L332" s="31"/>
      <c r="M332" s="32"/>
      <c r="V332" s="33"/>
      <c r="AF332" s="33"/>
      <c r="AP332" s="31"/>
      <c r="AQ332" s="34"/>
      <c r="AX332" s="33"/>
      <c r="BA332" s="83"/>
      <c r="BB332" s="84"/>
      <c r="BC332" s="85"/>
      <c r="BD332" s="84"/>
    </row>
    <row r="333" spans="1:56" s="23" customFormat="1" x14ac:dyDescent="0.25">
      <c r="A333" s="30"/>
      <c r="L333" s="31"/>
      <c r="M333" s="32"/>
      <c r="V333" s="33"/>
      <c r="AF333" s="33"/>
      <c r="AP333" s="31"/>
      <c r="AQ333" s="34"/>
      <c r="AX333" s="33"/>
      <c r="BA333" s="83"/>
      <c r="BB333" s="84"/>
      <c r="BC333" s="85"/>
      <c r="BD333" s="84"/>
    </row>
    <row r="334" spans="1:56" s="23" customFormat="1" x14ac:dyDescent="0.25">
      <c r="A334" s="30"/>
      <c r="L334" s="31"/>
      <c r="M334" s="32"/>
      <c r="V334" s="33"/>
      <c r="AF334" s="33"/>
      <c r="AP334" s="31"/>
      <c r="AQ334" s="34"/>
      <c r="AX334" s="33"/>
      <c r="BA334" s="83"/>
      <c r="BB334" s="84"/>
      <c r="BC334" s="85"/>
      <c r="BD334" s="84"/>
    </row>
    <row r="335" spans="1:56" s="23" customFormat="1" x14ac:dyDescent="0.25">
      <c r="A335" s="30"/>
      <c r="L335" s="31"/>
      <c r="M335" s="32"/>
      <c r="V335" s="33"/>
      <c r="AF335" s="33"/>
      <c r="AP335" s="31"/>
      <c r="AQ335" s="34"/>
      <c r="AX335" s="33"/>
      <c r="BA335" s="83"/>
      <c r="BB335" s="84"/>
      <c r="BC335" s="85"/>
      <c r="BD335" s="84"/>
    </row>
    <row r="336" spans="1:56" s="23" customFormat="1" x14ac:dyDescent="0.25">
      <c r="A336" s="30"/>
      <c r="L336" s="31"/>
      <c r="M336" s="32"/>
      <c r="V336" s="33"/>
      <c r="AF336" s="33"/>
      <c r="AP336" s="31"/>
      <c r="AQ336" s="34"/>
      <c r="AX336" s="33"/>
      <c r="BA336" s="83"/>
      <c r="BB336" s="84"/>
      <c r="BC336" s="85"/>
      <c r="BD336" s="84"/>
    </row>
    <row r="337" spans="1:56" s="23" customFormat="1" x14ac:dyDescent="0.25">
      <c r="A337" s="30"/>
      <c r="L337" s="31"/>
      <c r="M337" s="32"/>
      <c r="V337" s="33"/>
      <c r="AF337" s="33"/>
      <c r="AP337" s="31"/>
      <c r="AQ337" s="34"/>
      <c r="AX337" s="33"/>
      <c r="BA337" s="83"/>
      <c r="BB337" s="84"/>
      <c r="BC337" s="85"/>
      <c r="BD337" s="84"/>
    </row>
    <row r="338" spans="1:56" s="23" customFormat="1" x14ac:dyDescent="0.25">
      <c r="A338" s="30"/>
      <c r="L338" s="31"/>
      <c r="M338" s="32"/>
      <c r="V338" s="33"/>
      <c r="AF338" s="33"/>
      <c r="AP338" s="31"/>
      <c r="AQ338" s="34"/>
      <c r="AX338" s="33"/>
      <c r="BA338" s="83"/>
      <c r="BB338" s="84"/>
      <c r="BC338" s="85"/>
      <c r="BD338" s="84"/>
    </row>
    <row r="339" spans="1:56" s="23" customFormat="1" x14ac:dyDescent="0.25">
      <c r="A339" s="30"/>
      <c r="L339" s="31"/>
      <c r="M339" s="32"/>
      <c r="V339" s="33"/>
      <c r="AF339" s="33"/>
      <c r="AP339" s="31"/>
      <c r="AQ339" s="34"/>
      <c r="AX339" s="33"/>
      <c r="BA339" s="83"/>
      <c r="BB339" s="84"/>
      <c r="BC339" s="85"/>
      <c r="BD339" s="84"/>
    </row>
    <row r="340" spans="1:56" s="23" customFormat="1" x14ac:dyDescent="0.25">
      <c r="A340" s="30"/>
      <c r="L340" s="31"/>
      <c r="M340" s="32"/>
      <c r="V340" s="33"/>
      <c r="AF340" s="33"/>
      <c r="AP340" s="31"/>
      <c r="AQ340" s="34"/>
      <c r="AX340" s="33"/>
      <c r="BA340" s="83"/>
      <c r="BB340" s="84"/>
      <c r="BC340" s="85"/>
      <c r="BD340" s="84"/>
    </row>
    <row r="341" spans="1:56" s="23" customFormat="1" x14ac:dyDescent="0.25">
      <c r="A341" s="30"/>
      <c r="L341" s="31"/>
      <c r="M341" s="32"/>
      <c r="V341" s="33"/>
      <c r="AF341" s="33"/>
      <c r="AP341" s="31"/>
      <c r="AQ341" s="34"/>
      <c r="AX341" s="33"/>
      <c r="BA341" s="83"/>
      <c r="BB341" s="84"/>
      <c r="BC341" s="85"/>
      <c r="BD341" s="84"/>
    </row>
    <row r="342" spans="1:56" s="23" customFormat="1" x14ac:dyDescent="0.25">
      <c r="A342" s="30"/>
      <c r="L342" s="31"/>
      <c r="M342" s="32"/>
      <c r="V342" s="33"/>
      <c r="AF342" s="33"/>
      <c r="AP342" s="31"/>
      <c r="AQ342" s="34"/>
      <c r="AX342" s="33"/>
      <c r="BA342" s="83"/>
      <c r="BB342" s="84"/>
      <c r="BC342" s="85"/>
      <c r="BD342" s="84"/>
    </row>
    <row r="343" spans="1:56" s="23" customFormat="1" x14ac:dyDescent="0.25">
      <c r="A343" s="30"/>
      <c r="L343" s="31"/>
      <c r="M343" s="32"/>
      <c r="V343" s="33"/>
      <c r="AF343" s="33"/>
      <c r="AP343" s="31"/>
      <c r="AQ343" s="34"/>
      <c r="AX343" s="33"/>
      <c r="BA343" s="83"/>
      <c r="BB343" s="84"/>
      <c r="BC343" s="85"/>
      <c r="BD343" s="84"/>
    </row>
    <row r="344" spans="1:56" s="23" customFormat="1" x14ac:dyDescent="0.25">
      <c r="A344" s="30"/>
      <c r="L344" s="31"/>
      <c r="M344" s="32"/>
      <c r="V344" s="33"/>
      <c r="AF344" s="33"/>
      <c r="AP344" s="31"/>
      <c r="AQ344" s="34"/>
      <c r="AX344" s="33"/>
      <c r="BA344" s="83"/>
      <c r="BB344" s="84"/>
      <c r="BC344" s="85"/>
      <c r="BD344" s="84"/>
    </row>
    <row r="345" spans="1:56" s="23" customFormat="1" x14ac:dyDescent="0.25">
      <c r="A345" s="30"/>
      <c r="L345" s="31"/>
      <c r="M345" s="32"/>
      <c r="V345" s="33"/>
      <c r="AF345" s="33"/>
      <c r="AP345" s="31"/>
      <c r="AQ345" s="34"/>
      <c r="AX345" s="33"/>
      <c r="BA345" s="83"/>
      <c r="BB345" s="84"/>
      <c r="BC345" s="85"/>
      <c r="BD345" s="84"/>
    </row>
    <row r="346" spans="1:56" s="23" customFormat="1" x14ac:dyDescent="0.25">
      <c r="A346" s="30"/>
      <c r="L346" s="31"/>
      <c r="M346" s="32"/>
      <c r="V346" s="33"/>
      <c r="AF346" s="33"/>
      <c r="AP346" s="31"/>
      <c r="AQ346" s="34"/>
      <c r="AX346" s="33"/>
      <c r="BA346" s="83"/>
      <c r="BB346" s="84"/>
      <c r="BC346" s="85"/>
      <c r="BD346" s="84"/>
    </row>
    <row r="347" spans="1:56" s="23" customFormat="1" x14ac:dyDescent="0.25">
      <c r="A347" s="30"/>
      <c r="L347" s="31"/>
      <c r="M347" s="32"/>
      <c r="V347" s="33"/>
      <c r="AF347" s="33"/>
      <c r="AP347" s="31"/>
      <c r="AQ347" s="34"/>
      <c r="AX347" s="33"/>
      <c r="BA347" s="83"/>
      <c r="BB347" s="84"/>
      <c r="BC347" s="85"/>
      <c r="BD347" s="84"/>
    </row>
    <row r="348" spans="1:56" s="23" customFormat="1" x14ac:dyDescent="0.25">
      <c r="A348" s="30"/>
      <c r="L348" s="31"/>
      <c r="M348" s="32"/>
      <c r="V348" s="33"/>
      <c r="AF348" s="33"/>
      <c r="AP348" s="31"/>
      <c r="AQ348" s="34"/>
      <c r="AX348" s="33"/>
      <c r="BA348" s="83"/>
      <c r="BB348" s="84"/>
      <c r="BC348" s="85"/>
      <c r="BD348" s="84"/>
    </row>
    <row r="349" spans="1:56" s="23" customFormat="1" x14ac:dyDescent="0.25">
      <c r="A349" s="30"/>
      <c r="L349" s="31"/>
      <c r="M349" s="32"/>
      <c r="V349" s="33"/>
      <c r="AF349" s="33"/>
      <c r="AP349" s="31"/>
      <c r="AQ349" s="34"/>
      <c r="AX349" s="33"/>
      <c r="BA349" s="83"/>
      <c r="BB349" s="84"/>
      <c r="BC349" s="85"/>
      <c r="BD349" s="84"/>
    </row>
    <row r="350" spans="1:56" s="23" customFormat="1" x14ac:dyDescent="0.25">
      <c r="A350" s="30"/>
      <c r="L350" s="31"/>
      <c r="M350" s="32"/>
      <c r="V350" s="33"/>
      <c r="AF350" s="33"/>
      <c r="AP350" s="31"/>
      <c r="AQ350" s="34"/>
      <c r="AX350" s="33"/>
      <c r="BA350" s="83"/>
      <c r="BB350" s="84"/>
      <c r="BC350" s="85"/>
      <c r="BD350" s="84"/>
    </row>
    <row r="351" spans="1:56" s="23" customFormat="1" x14ac:dyDescent="0.25">
      <c r="A351" s="30"/>
      <c r="L351" s="31"/>
      <c r="M351" s="32"/>
      <c r="V351" s="33"/>
      <c r="AF351" s="33"/>
      <c r="AP351" s="31"/>
      <c r="AQ351" s="34"/>
      <c r="AX351" s="33"/>
      <c r="BA351" s="83"/>
      <c r="BB351" s="84"/>
      <c r="BC351" s="85"/>
      <c r="BD351" s="84"/>
    </row>
    <row r="352" spans="1:56" s="23" customFormat="1" x14ac:dyDescent="0.25">
      <c r="A352" s="30"/>
      <c r="L352" s="31"/>
      <c r="M352" s="32"/>
      <c r="V352" s="33"/>
      <c r="AF352" s="33"/>
      <c r="AP352" s="31"/>
      <c r="AQ352" s="34"/>
      <c r="AX352" s="33"/>
      <c r="BA352" s="83"/>
      <c r="BB352" s="84"/>
      <c r="BC352" s="85"/>
      <c r="BD352" s="84"/>
    </row>
    <row r="353" spans="1:56" s="23" customFormat="1" x14ac:dyDescent="0.25">
      <c r="A353" s="30"/>
      <c r="L353" s="31"/>
      <c r="M353" s="32"/>
      <c r="V353" s="33"/>
      <c r="AF353" s="33"/>
      <c r="AP353" s="31"/>
      <c r="AQ353" s="34"/>
      <c r="AX353" s="33"/>
      <c r="BA353" s="83"/>
      <c r="BB353" s="84"/>
      <c r="BC353" s="85"/>
      <c r="BD353" s="84"/>
    </row>
    <row r="354" spans="1:56" s="23" customFormat="1" x14ac:dyDescent="0.25">
      <c r="A354" s="30"/>
      <c r="L354" s="31"/>
      <c r="M354" s="32"/>
      <c r="V354" s="33"/>
      <c r="AF354" s="33"/>
      <c r="AP354" s="31"/>
      <c r="AQ354" s="34"/>
      <c r="AX354" s="33"/>
      <c r="BA354" s="83"/>
      <c r="BB354" s="84"/>
      <c r="BC354" s="85"/>
      <c r="BD354" s="84"/>
    </row>
    <row r="355" spans="1:56" s="23" customFormat="1" x14ac:dyDescent="0.25">
      <c r="A355" s="30"/>
      <c r="L355" s="31"/>
      <c r="M355" s="32"/>
      <c r="V355" s="33"/>
      <c r="AF355" s="33"/>
      <c r="AP355" s="31"/>
      <c r="AQ355" s="34"/>
      <c r="AX355" s="33"/>
      <c r="BA355" s="83"/>
      <c r="BB355" s="84"/>
      <c r="BC355" s="85"/>
      <c r="BD355" s="84"/>
    </row>
    <row r="356" spans="1:56" s="23" customFormat="1" x14ac:dyDescent="0.25">
      <c r="A356" s="30"/>
      <c r="L356" s="31"/>
      <c r="M356" s="32"/>
      <c r="V356" s="33"/>
      <c r="AF356" s="33"/>
      <c r="AP356" s="31"/>
      <c r="AQ356" s="34"/>
      <c r="AX356" s="33"/>
      <c r="BA356" s="83"/>
      <c r="BB356" s="84"/>
      <c r="BC356" s="85"/>
      <c r="BD356" s="84"/>
    </row>
    <row r="357" spans="1:56" s="23" customFormat="1" x14ac:dyDescent="0.25">
      <c r="A357" s="30"/>
      <c r="L357" s="31"/>
      <c r="M357" s="32"/>
      <c r="V357" s="33"/>
      <c r="AF357" s="33"/>
      <c r="AP357" s="31"/>
      <c r="AQ357" s="34"/>
      <c r="AX357" s="33"/>
      <c r="BA357" s="83"/>
      <c r="BB357" s="84"/>
      <c r="BC357" s="85"/>
      <c r="BD357" s="84"/>
    </row>
    <row r="358" spans="1:56" s="23" customFormat="1" x14ac:dyDescent="0.25">
      <c r="A358" s="30"/>
      <c r="L358" s="31"/>
      <c r="M358" s="32"/>
      <c r="V358" s="33"/>
      <c r="AF358" s="33"/>
      <c r="AP358" s="31"/>
      <c r="AQ358" s="34"/>
      <c r="AX358" s="33"/>
      <c r="BA358" s="83"/>
      <c r="BB358" s="84"/>
      <c r="BC358" s="85"/>
      <c r="BD358" s="84"/>
    </row>
    <row r="359" spans="1:56" s="23" customFormat="1" x14ac:dyDescent="0.25">
      <c r="A359" s="30"/>
      <c r="L359" s="31"/>
      <c r="M359" s="32"/>
      <c r="V359" s="33"/>
      <c r="AF359" s="33"/>
      <c r="AP359" s="31"/>
      <c r="AQ359" s="34"/>
      <c r="AX359" s="33"/>
      <c r="BA359" s="83"/>
      <c r="BB359" s="84"/>
      <c r="BC359" s="85"/>
      <c r="BD359" s="84"/>
    </row>
    <row r="360" spans="1:56" s="23" customFormat="1" x14ac:dyDescent="0.25">
      <c r="A360" s="30"/>
      <c r="L360" s="31"/>
      <c r="M360" s="32"/>
      <c r="V360" s="33"/>
      <c r="AF360" s="33"/>
      <c r="AP360" s="31"/>
      <c r="AQ360" s="34"/>
      <c r="AX360" s="33"/>
      <c r="BA360" s="83"/>
      <c r="BB360" s="84"/>
      <c r="BC360" s="85"/>
      <c r="BD360" s="84"/>
    </row>
    <row r="361" spans="1:56" s="23" customFormat="1" x14ac:dyDescent="0.25">
      <c r="A361" s="30"/>
      <c r="L361" s="31"/>
      <c r="M361" s="32"/>
      <c r="V361" s="33"/>
      <c r="AF361" s="33"/>
      <c r="AP361" s="31"/>
      <c r="AQ361" s="34"/>
      <c r="AX361" s="33"/>
      <c r="BA361" s="83"/>
      <c r="BB361" s="84"/>
      <c r="BC361" s="85"/>
      <c r="BD361" s="84"/>
    </row>
    <row r="362" spans="1:56" s="23" customFormat="1" x14ac:dyDescent="0.25">
      <c r="A362" s="30"/>
      <c r="L362" s="31"/>
      <c r="M362" s="32"/>
      <c r="V362" s="33"/>
      <c r="AF362" s="33"/>
      <c r="AP362" s="31"/>
      <c r="AQ362" s="34"/>
      <c r="AX362" s="33"/>
      <c r="BA362" s="83"/>
      <c r="BB362" s="84"/>
      <c r="BC362" s="85"/>
      <c r="BD362" s="84"/>
    </row>
    <row r="363" spans="1:56" s="23" customFormat="1" x14ac:dyDescent="0.25">
      <c r="A363" s="30"/>
      <c r="L363" s="31"/>
      <c r="M363" s="32"/>
      <c r="V363" s="33"/>
      <c r="AF363" s="33"/>
      <c r="AP363" s="31"/>
      <c r="AQ363" s="34"/>
      <c r="AX363" s="33"/>
      <c r="BA363" s="83"/>
      <c r="BB363" s="84"/>
      <c r="BC363" s="85"/>
      <c r="BD363" s="84"/>
    </row>
    <row r="364" spans="1:56" s="23" customFormat="1" x14ac:dyDescent="0.25">
      <c r="A364" s="30"/>
      <c r="L364" s="31"/>
      <c r="M364" s="32"/>
      <c r="V364" s="33"/>
      <c r="AF364" s="33"/>
      <c r="AP364" s="31"/>
      <c r="AQ364" s="34"/>
      <c r="AX364" s="33"/>
      <c r="BA364" s="83"/>
      <c r="BB364" s="84"/>
      <c r="BC364" s="85"/>
      <c r="BD364" s="84"/>
    </row>
    <row r="365" spans="1:56" s="23" customFormat="1" x14ac:dyDescent="0.25">
      <c r="A365" s="30"/>
      <c r="L365" s="31"/>
      <c r="M365" s="32"/>
      <c r="V365" s="33"/>
      <c r="AF365" s="33"/>
      <c r="AP365" s="31"/>
      <c r="AQ365" s="34"/>
      <c r="AX365" s="33"/>
      <c r="BA365" s="83"/>
      <c r="BB365" s="84"/>
      <c r="BC365" s="85"/>
      <c r="BD365" s="84"/>
    </row>
    <row r="366" spans="1:56" s="23" customFormat="1" x14ac:dyDescent="0.25">
      <c r="A366" s="30"/>
      <c r="L366" s="31"/>
      <c r="M366" s="32"/>
      <c r="V366" s="33"/>
      <c r="AF366" s="33"/>
      <c r="AP366" s="31"/>
      <c r="AQ366" s="34"/>
      <c r="AX366" s="33"/>
      <c r="BA366" s="83"/>
      <c r="BB366" s="84"/>
      <c r="BC366" s="85"/>
      <c r="BD366" s="84"/>
    </row>
    <row r="367" spans="1:56" s="23" customFormat="1" x14ac:dyDescent="0.25">
      <c r="A367" s="30"/>
      <c r="L367" s="31"/>
      <c r="M367" s="32"/>
      <c r="V367" s="33"/>
      <c r="AF367" s="33"/>
      <c r="AP367" s="31"/>
      <c r="AQ367" s="34"/>
      <c r="AX367" s="33"/>
      <c r="BA367" s="83"/>
      <c r="BB367" s="84"/>
      <c r="BC367" s="85"/>
      <c r="BD367" s="84"/>
    </row>
    <row r="368" spans="1:56" s="23" customFormat="1" x14ac:dyDescent="0.25">
      <c r="A368" s="30"/>
      <c r="L368" s="31"/>
      <c r="M368" s="32"/>
      <c r="V368" s="33"/>
      <c r="AF368" s="33"/>
      <c r="AP368" s="31"/>
      <c r="AQ368" s="34"/>
      <c r="AX368" s="33"/>
      <c r="BA368" s="83"/>
      <c r="BB368" s="84"/>
      <c r="BC368" s="85"/>
      <c r="BD368" s="84"/>
    </row>
    <row r="369" spans="1:56" s="23" customFormat="1" x14ac:dyDescent="0.25">
      <c r="A369" s="30"/>
      <c r="L369" s="31"/>
      <c r="M369" s="32"/>
      <c r="V369" s="33"/>
      <c r="AF369" s="33"/>
      <c r="AP369" s="31"/>
      <c r="AQ369" s="34"/>
      <c r="AX369" s="33"/>
      <c r="BA369" s="83"/>
      <c r="BB369" s="84"/>
      <c r="BC369" s="85"/>
      <c r="BD369" s="84"/>
    </row>
    <row r="370" spans="1:56" s="23" customFormat="1" x14ac:dyDescent="0.25">
      <c r="A370" s="30"/>
      <c r="L370" s="31"/>
      <c r="M370" s="32"/>
      <c r="V370" s="33"/>
      <c r="AF370" s="33"/>
      <c r="AP370" s="31"/>
      <c r="AQ370" s="34"/>
      <c r="AX370" s="33"/>
      <c r="BA370" s="83"/>
      <c r="BB370" s="84"/>
      <c r="BC370" s="85"/>
      <c r="BD370" s="84"/>
    </row>
    <row r="371" spans="1:56" s="23" customFormat="1" x14ac:dyDescent="0.25">
      <c r="A371" s="30"/>
      <c r="L371" s="31"/>
      <c r="M371" s="32"/>
      <c r="V371" s="33"/>
      <c r="AF371" s="33"/>
      <c r="AP371" s="31"/>
      <c r="AQ371" s="34"/>
      <c r="AX371" s="33"/>
      <c r="BA371" s="83"/>
      <c r="BB371" s="84"/>
      <c r="BC371" s="85"/>
      <c r="BD371" s="84"/>
    </row>
    <row r="372" spans="1:56" s="23" customFormat="1" x14ac:dyDescent="0.25">
      <c r="A372" s="30"/>
      <c r="L372" s="31"/>
      <c r="M372" s="32"/>
      <c r="V372" s="33"/>
      <c r="AF372" s="33"/>
      <c r="AP372" s="31"/>
      <c r="AQ372" s="34"/>
      <c r="AX372" s="33"/>
      <c r="BA372" s="83"/>
      <c r="BB372" s="84"/>
      <c r="BC372" s="85"/>
      <c r="BD372" s="84"/>
    </row>
    <row r="373" spans="1:56" s="23" customFormat="1" x14ac:dyDescent="0.25">
      <c r="A373" s="30"/>
      <c r="L373" s="31"/>
      <c r="M373" s="32"/>
      <c r="V373" s="33"/>
      <c r="AF373" s="33"/>
      <c r="AP373" s="31"/>
      <c r="AQ373" s="34"/>
      <c r="AX373" s="33"/>
      <c r="BA373" s="83"/>
      <c r="BB373" s="84"/>
      <c r="BC373" s="85"/>
      <c r="BD373" s="84"/>
    </row>
    <row r="374" spans="1:56" s="23" customFormat="1" x14ac:dyDescent="0.25">
      <c r="A374" s="30"/>
      <c r="L374" s="31"/>
      <c r="M374" s="32"/>
      <c r="V374" s="33"/>
      <c r="AF374" s="33"/>
      <c r="AP374" s="31"/>
      <c r="AQ374" s="34"/>
      <c r="AX374" s="33"/>
      <c r="BA374" s="83"/>
      <c r="BB374" s="84"/>
      <c r="BC374" s="85"/>
      <c r="BD374" s="84"/>
    </row>
    <row r="375" spans="1:56" s="23" customFormat="1" x14ac:dyDescent="0.25">
      <c r="A375" s="30"/>
      <c r="L375" s="31"/>
      <c r="M375" s="32"/>
      <c r="V375" s="33"/>
      <c r="AF375" s="33"/>
      <c r="AP375" s="31"/>
      <c r="AQ375" s="34"/>
      <c r="AX375" s="33"/>
      <c r="BA375" s="83"/>
      <c r="BB375" s="84"/>
      <c r="BC375" s="85"/>
      <c r="BD375" s="84"/>
    </row>
    <row r="376" spans="1:56" s="23" customFormat="1" x14ac:dyDescent="0.25">
      <c r="A376" s="30"/>
      <c r="L376" s="31"/>
      <c r="M376" s="32"/>
      <c r="V376" s="33"/>
      <c r="AF376" s="33"/>
      <c r="AP376" s="31"/>
      <c r="AQ376" s="34"/>
      <c r="AX376" s="33"/>
      <c r="BA376" s="83"/>
      <c r="BB376" s="84"/>
      <c r="BC376" s="85"/>
      <c r="BD376" s="84"/>
    </row>
    <row r="377" spans="1:56" s="23" customFormat="1" x14ac:dyDescent="0.25">
      <c r="A377" s="30"/>
      <c r="L377" s="31"/>
      <c r="M377" s="32"/>
      <c r="V377" s="33"/>
      <c r="AF377" s="33"/>
      <c r="AP377" s="31"/>
      <c r="AQ377" s="34"/>
      <c r="AX377" s="33"/>
      <c r="BA377" s="83"/>
      <c r="BB377" s="84"/>
      <c r="BC377" s="85"/>
      <c r="BD377" s="84"/>
    </row>
    <row r="378" spans="1:56" s="23" customFormat="1" x14ac:dyDescent="0.25">
      <c r="A378" s="30"/>
      <c r="L378" s="31"/>
      <c r="M378" s="32"/>
      <c r="V378" s="33"/>
      <c r="AF378" s="33"/>
      <c r="AP378" s="31"/>
      <c r="AQ378" s="34"/>
      <c r="AX378" s="33"/>
      <c r="BA378" s="83"/>
      <c r="BB378" s="84"/>
      <c r="BC378" s="85"/>
      <c r="BD378" s="84"/>
    </row>
    <row r="379" spans="1:56" s="23" customFormat="1" x14ac:dyDescent="0.25">
      <c r="A379" s="30"/>
      <c r="L379" s="31"/>
      <c r="M379" s="32"/>
      <c r="V379" s="33"/>
      <c r="AF379" s="33"/>
      <c r="AP379" s="31"/>
      <c r="AQ379" s="34"/>
      <c r="AX379" s="33"/>
      <c r="BA379" s="83"/>
      <c r="BB379" s="84"/>
      <c r="BC379" s="85"/>
      <c r="BD379" s="84"/>
    </row>
    <row r="380" spans="1:56" s="23" customFormat="1" x14ac:dyDescent="0.25">
      <c r="A380" s="30"/>
      <c r="L380" s="31"/>
      <c r="M380" s="32"/>
      <c r="V380" s="33"/>
      <c r="AF380" s="33"/>
      <c r="AP380" s="31"/>
      <c r="AQ380" s="34"/>
      <c r="AX380" s="33"/>
      <c r="BA380" s="83"/>
      <c r="BB380" s="84"/>
      <c r="BC380" s="85"/>
      <c r="BD380" s="84"/>
    </row>
    <row r="381" spans="1:56" s="23" customFormat="1" x14ac:dyDescent="0.25">
      <c r="A381" s="30"/>
      <c r="L381" s="31"/>
      <c r="M381" s="32"/>
      <c r="V381" s="33"/>
      <c r="AF381" s="33"/>
      <c r="AP381" s="31"/>
      <c r="AQ381" s="34"/>
      <c r="AX381" s="33"/>
      <c r="BA381" s="83"/>
      <c r="BB381" s="84"/>
      <c r="BC381" s="85"/>
      <c r="BD381" s="84"/>
    </row>
    <row r="382" spans="1:56" s="23" customFormat="1" x14ac:dyDescent="0.25">
      <c r="A382" s="30"/>
      <c r="L382" s="31"/>
      <c r="M382" s="32"/>
      <c r="V382" s="33"/>
      <c r="AF382" s="33"/>
      <c r="AP382" s="31"/>
      <c r="AQ382" s="34"/>
      <c r="AX382" s="33"/>
      <c r="BA382" s="83"/>
      <c r="BB382" s="84"/>
      <c r="BC382" s="85"/>
      <c r="BD382" s="84"/>
    </row>
    <row r="383" spans="1:56" s="23" customFormat="1" x14ac:dyDescent="0.25">
      <c r="A383" s="30"/>
      <c r="L383" s="31"/>
      <c r="M383" s="32"/>
      <c r="V383" s="33"/>
      <c r="AF383" s="33"/>
      <c r="AP383" s="31"/>
      <c r="AQ383" s="34"/>
      <c r="AX383" s="33"/>
      <c r="BA383" s="83"/>
      <c r="BB383" s="84"/>
      <c r="BC383" s="85"/>
      <c r="BD383" s="84"/>
    </row>
    <row r="384" spans="1:56" s="23" customFormat="1" x14ac:dyDescent="0.25">
      <c r="A384" s="30"/>
      <c r="L384" s="31"/>
      <c r="M384" s="32"/>
      <c r="V384" s="33"/>
      <c r="AF384" s="33"/>
      <c r="AP384" s="31"/>
      <c r="AQ384" s="34"/>
      <c r="AX384" s="33"/>
      <c r="BA384" s="83"/>
      <c r="BB384" s="84"/>
      <c r="BC384" s="85"/>
      <c r="BD384" s="84"/>
    </row>
    <row r="385" spans="1:56" s="23" customFormat="1" x14ac:dyDescent="0.25">
      <c r="A385" s="30"/>
      <c r="L385" s="31"/>
      <c r="M385" s="32"/>
      <c r="V385" s="33"/>
      <c r="AF385" s="33"/>
      <c r="AP385" s="31"/>
      <c r="AQ385" s="34"/>
      <c r="AX385" s="33"/>
      <c r="BA385" s="83"/>
      <c r="BB385" s="84"/>
      <c r="BC385" s="85"/>
      <c r="BD385" s="84"/>
    </row>
    <row r="386" spans="1:56" s="23" customFormat="1" x14ac:dyDescent="0.25">
      <c r="A386" s="30"/>
      <c r="L386" s="31"/>
      <c r="M386" s="32"/>
      <c r="V386" s="33"/>
      <c r="AF386" s="33"/>
      <c r="AP386" s="31"/>
      <c r="AQ386" s="34"/>
      <c r="AX386" s="33"/>
      <c r="BA386" s="83"/>
      <c r="BB386" s="84"/>
      <c r="BC386" s="85"/>
      <c r="BD386" s="84"/>
    </row>
    <row r="387" spans="1:56" s="23" customFormat="1" x14ac:dyDescent="0.25">
      <c r="A387" s="30"/>
      <c r="L387" s="31"/>
      <c r="M387" s="32"/>
      <c r="V387" s="33"/>
      <c r="AF387" s="33"/>
      <c r="AP387" s="31"/>
      <c r="AQ387" s="34"/>
      <c r="AX387" s="33"/>
      <c r="BA387" s="83"/>
      <c r="BB387" s="84"/>
      <c r="BC387" s="85"/>
      <c r="BD387" s="84"/>
    </row>
    <row r="388" spans="1:56" s="23" customFormat="1" x14ac:dyDescent="0.25">
      <c r="A388" s="30"/>
      <c r="L388" s="31"/>
      <c r="M388" s="32"/>
      <c r="V388" s="33"/>
      <c r="AF388" s="33"/>
      <c r="AP388" s="31"/>
      <c r="AQ388" s="34"/>
      <c r="AX388" s="33"/>
      <c r="BA388" s="83"/>
      <c r="BB388" s="84"/>
      <c r="BC388" s="85"/>
      <c r="BD388" s="84"/>
    </row>
    <row r="389" spans="1:56" s="23" customFormat="1" x14ac:dyDescent="0.25">
      <c r="A389" s="30"/>
      <c r="L389" s="31"/>
      <c r="M389" s="32"/>
      <c r="V389" s="33"/>
      <c r="AF389" s="33"/>
      <c r="AP389" s="31"/>
      <c r="AQ389" s="34"/>
      <c r="AX389" s="33"/>
      <c r="BA389" s="83"/>
      <c r="BB389" s="84"/>
      <c r="BC389" s="85"/>
      <c r="BD389" s="84"/>
    </row>
    <row r="390" spans="1:56" s="23" customFormat="1" x14ac:dyDescent="0.25">
      <c r="A390" s="30"/>
      <c r="L390" s="31"/>
      <c r="M390" s="32"/>
      <c r="V390" s="33"/>
      <c r="AF390" s="33"/>
      <c r="AP390" s="31"/>
      <c r="AQ390" s="34"/>
      <c r="AX390" s="33"/>
      <c r="BA390" s="83"/>
      <c r="BB390" s="84"/>
      <c r="BC390" s="85"/>
      <c r="BD390" s="84"/>
    </row>
    <row r="391" spans="1:56" s="23" customFormat="1" x14ac:dyDescent="0.25">
      <c r="A391" s="30"/>
      <c r="L391" s="31"/>
      <c r="M391" s="32"/>
      <c r="V391" s="33"/>
      <c r="AF391" s="33"/>
      <c r="AP391" s="31"/>
      <c r="AQ391" s="34"/>
      <c r="AX391" s="33"/>
      <c r="BA391" s="83"/>
      <c r="BB391" s="84"/>
      <c r="BC391" s="85"/>
      <c r="BD391" s="84"/>
    </row>
    <row r="392" spans="1:56" s="23" customFormat="1" x14ac:dyDescent="0.25">
      <c r="A392" s="30"/>
      <c r="L392" s="31"/>
      <c r="M392" s="32"/>
      <c r="V392" s="33"/>
      <c r="AF392" s="33"/>
      <c r="AP392" s="31"/>
      <c r="AQ392" s="34"/>
      <c r="AX392" s="33"/>
      <c r="BA392" s="83"/>
      <c r="BB392" s="84"/>
      <c r="BC392" s="85"/>
      <c r="BD392" s="84"/>
    </row>
    <row r="393" spans="1:56" s="23" customFormat="1" x14ac:dyDescent="0.25">
      <c r="A393" s="30"/>
      <c r="L393" s="31"/>
      <c r="M393" s="32"/>
      <c r="V393" s="33"/>
      <c r="AF393" s="33"/>
      <c r="AP393" s="31"/>
      <c r="AQ393" s="34"/>
      <c r="AX393" s="33"/>
      <c r="BA393" s="83"/>
      <c r="BB393" s="84"/>
      <c r="BC393" s="85"/>
      <c r="BD393" s="84"/>
    </row>
    <row r="394" spans="1:56" s="23" customFormat="1" x14ac:dyDescent="0.25">
      <c r="A394" s="30"/>
      <c r="L394" s="31"/>
      <c r="M394" s="32"/>
      <c r="V394" s="33"/>
      <c r="AF394" s="33"/>
      <c r="AP394" s="31"/>
      <c r="AQ394" s="34"/>
      <c r="AX394" s="33"/>
      <c r="BA394" s="83"/>
      <c r="BB394" s="84"/>
      <c r="BC394" s="85"/>
      <c r="BD394" s="84"/>
    </row>
    <row r="395" spans="1:56" s="23" customFormat="1" x14ac:dyDescent="0.25">
      <c r="A395" s="30"/>
      <c r="L395" s="31"/>
      <c r="M395" s="32"/>
      <c r="V395" s="33"/>
      <c r="AF395" s="33"/>
      <c r="AP395" s="31"/>
      <c r="AQ395" s="34"/>
      <c r="AX395" s="33"/>
      <c r="BA395" s="83"/>
      <c r="BB395" s="84"/>
      <c r="BC395" s="85"/>
      <c r="BD395" s="84"/>
    </row>
    <row r="396" spans="1:56" s="23" customFormat="1" x14ac:dyDescent="0.25">
      <c r="A396" s="30"/>
      <c r="L396" s="31"/>
      <c r="M396" s="32"/>
      <c r="V396" s="33"/>
      <c r="AF396" s="33"/>
      <c r="AP396" s="31"/>
      <c r="AQ396" s="34"/>
      <c r="AX396" s="33"/>
      <c r="BA396" s="83"/>
      <c r="BB396" s="84"/>
      <c r="BC396" s="85"/>
      <c r="BD396" s="84"/>
    </row>
    <row r="397" spans="1:56" s="23" customFormat="1" x14ac:dyDescent="0.25">
      <c r="A397" s="30"/>
      <c r="L397" s="31"/>
      <c r="M397" s="32"/>
      <c r="V397" s="33"/>
      <c r="AF397" s="33"/>
      <c r="AP397" s="31"/>
      <c r="AQ397" s="34"/>
      <c r="AX397" s="33"/>
      <c r="BA397" s="83"/>
      <c r="BB397" s="84"/>
      <c r="BC397" s="85"/>
      <c r="BD397" s="84"/>
    </row>
    <row r="398" spans="1:56" s="23" customFormat="1" x14ac:dyDescent="0.25">
      <c r="A398" s="30"/>
      <c r="L398" s="31"/>
      <c r="M398" s="32"/>
      <c r="V398" s="33"/>
      <c r="AF398" s="33"/>
      <c r="AP398" s="31"/>
      <c r="AQ398" s="34"/>
      <c r="AX398" s="33"/>
      <c r="BA398" s="83"/>
      <c r="BB398" s="84"/>
      <c r="BC398" s="85"/>
      <c r="BD398" s="84"/>
    </row>
    <row r="399" spans="1:56" s="23" customFormat="1" x14ac:dyDescent="0.25">
      <c r="A399" s="30"/>
      <c r="L399" s="31"/>
      <c r="M399" s="32"/>
      <c r="V399" s="33"/>
      <c r="AF399" s="33"/>
      <c r="AP399" s="31"/>
      <c r="AQ399" s="34"/>
      <c r="AX399" s="33"/>
      <c r="BA399" s="83"/>
      <c r="BB399" s="84"/>
      <c r="BC399" s="85"/>
      <c r="BD399" s="84"/>
    </row>
    <row r="400" spans="1:56" s="23" customFormat="1" x14ac:dyDescent="0.25">
      <c r="A400" s="30"/>
      <c r="L400" s="31"/>
      <c r="M400" s="32"/>
      <c r="V400" s="33"/>
      <c r="AF400" s="33"/>
      <c r="AP400" s="31"/>
      <c r="AQ400" s="34"/>
      <c r="AX400" s="33"/>
      <c r="BA400" s="83"/>
      <c r="BB400" s="84"/>
      <c r="BC400" s="85"/>
      <c r="BD400" s="84"/>
    </row>
    <row r="401" spans="1:56" s="23" customFormat="1" x14ac:dyDescent="0.25">
      <c r="A401" s="30"/>
      <c r="L401" s="31"/>
      <c r="M401" s="32"/>
      <c r="V401" s="33"/>
      <c r="AF401" s="33"/>
      <c r="AP401" s="31"/>
      <c r="AQ401" s="34"/>
      <c r="AX401" s="33"/>
      <c r="BA401" s="83"/>
      <c r="BB401" s="84"/>
      <c r="BC401" s="85"/>
      <c r="BD401" s="84"/>
    </row>
    <row r="402" spans="1:56" s="23" customFormat="1" x14ac:dyDescent="0.25">
      <c r="A402" s="30"/>
      <c r="L402" s="31"/>
      <c r="M402" s="32"/>
      <c r="V402" s="33"/>
      <c r="AF402" s="33"/>
      <c r="AP402" s="31"/>
      <c r="AQ402" s="34"/>
      <c r="AX402" s="33"/>
      <c r="BA402" s="83"/>
      <c r="BB402" s="84"/>
      <c r="BC402" s="85"/>
      <c r="BD402" s="84"/>
    </row>
    <row r="403" spans="1:56" s="23" customFormat="1" x14ac:dyDescent="0.25">
      <c r="A403" s="30"/>
      <c r="L403" s="31"/>
      <c r="M403" s="32"/>
      <c r="V403" s="33"/>
      <c r="AF403" s="33"/>
      <c r="AP403" s="31"/>
      <c r="AQ403" s="34"/>
      <c r="AX403" s="33"/>
      <c r="BA403" s="83"/>
      <c r="BB403" s="84"/>
      <c r="BC403" s="85"/>
      <c r="BD403" s="84"/>
    </row>
    <row r="404" spans="1:56" s="23" customFormat="1" x14ac:dyDescent="0.25">
      <c r="A404" s="30"/>
      <c r="L404" s="31"/>
      <c r="M404" s="32"/>
      <c r="V404" s="33"/>
      <c r="AF404" s="33"/>
      <c r="AP404" s="31"/>
      <c r="AQ404" s="34"/>
      <c r="AX404" s="33"/>
      <c r="BA404" s="83"/>
      <c r="BB404" s="84"/>
      <c r="BC404" s="85"/>
      <c r="BD404" s="84"/>
    </row>
    <row r="405" spans="1:56" s="23" customFormat="1" x14ac:dyDescent="0.25">
      <c r="A405" s="30"/>
      <c r="L405" s="31"/>
      <c r="M405" s="32"/>
      <c r="V405" s="33"/>
      <c r="AF405" s="33"/>
      <c r="AP405" s="31"/>
      <c r="AQ405" s="34"/>
      <c r="AX405" s="33"/>
      <c r="BA405" s="83"/>
      <c r="BB405" s="84"/>
      <c r="BC405" s="85"/>
      <c r="BD405" s="84"/>
    </row>
    <row r="406" spans="1:56" s="23" customFormat="1" x14ac:dyDescent="0.25">
      <c r="A406" s="30"/>
      <c r="L406" s="31"/>
      <c r="M406" s="32"/>
      <c r="V406" s="33"/>
      <c r="AF406" s="33"/>
      <c r="AP406" s="31"/>
      <c r="AQ406" s="34"/>
      <c r="AX406" s="33"/>
      <c r="BA406" s="83"/>
      <c r="BB406" s="84"/>
      <c r="BC406" s="85"/>
      <c r="BD406" s="84"/>
    </row>
    <row r="407" spans="1:56" s="23" customFormat="1" x14ac:dyDescent="0.25">
      <c r="A407" s="30"/>
      <c r="L407" s="31"/>
      <c r="M407" s="32"/>
      <c r="V407" s="33"/>
      <c r="AF407" s="33"/>
      <c r="AP407" s="31"/>
      <c r="AQ407" s="34"/>
      <c r="AX407" s="33"/>
      <c r="BA407" s="83"/>
      <c r="BB407" s="84"/>
      <c r="BC407" s="85"/>
      <c r="BD407" s="84"/>
    </row>
    <row r="408" spans="1:56" s="23" customFormat="1" x14ac:dyDescent="0.25">
      <c r="A408" s="30"/>
      <c r="L408" s="31"/>
      <c r="M408" s="32"/>
      <c r="V408" s="33"/>
      <c r="AF408" s="33"/>
      <c r="AP408" s="31"/>
      <c r="AQ408" s="34"/>
      <c r="AX408" s="33"/>
      <c r="BA408" s="83"/>
      <c r="BB408" s="84"/>
      <c r="BC408" s="85"/>
      <c r="BD408" s="84"/>
    </row>
    <row r="409" spans="1:56" s="23" customFormat="1" x14ac:dyDescent="0.25">
      <c r="A409" s="30"/>
      <c r="L409" s="31"/>
      <c r="M409" s="32"/>
      <c r="V409" s="33"/>
      <c r="AF409" s="33"/>
      <c r="AP409" s="31"/>
      <c r="AQ409" s="34"/>
      <c r="AX409" s="33"/>
      <c r="BA409" s="83"/>
      <c r="BB409" s="84"/>
      <c r="BC409" s="85"/>
      <c r="BD409" s="84"/>
    </row>
    <row r="410" spans="1:56" s="23" customFormat="1" x14ac:dyDescent="0.25">
      <c r="A410" s="30"/>
      <c r="L410" s="31"/>
      <c r="M410" s="32"/>
      <c r="V410" s="33"/>
      <c r="AF410" s="33"/>
      <c r="AP410" s="31"/>
      <c r="AQ410" s="34"/>
      <c r="AX410" s="33"/>
      <c r="BA410" s="83"/>
      <c r="BB410" s="84"/>
      <c r="BC410" s="85"/>
      <c r="BD410" s="84"/>
    </row>
    <row r="411" spans="1:56" s="23" customFormat="1" x14ac:dyDescent="0.25">
      <c r="A411" s="30"/>
      <c r="L411" s="31"/>
      <c r="M411" s="32"/>
      <c r="V411" s="33"/>
      <c r="AF411" s="33"/>
      <c r="AP411" s="31"/>
      <c r="AQ411" s="34"/>
      <c r="AX411" s="33"/>
      <c r="BA411" s="83"/>
      <c r="BB411" s="84"/>
      <c r="BC411" s="85"/>
      <c r="BD411" s="84"/>
    </row>
    <row r="412" spans="1:56" s="23" customFormat="1" x14ac:dyDescent="0.25">
      <c r="A412" s="30"/>
      <c r="L412" s="31"/>
      <c r="M412" s="32"/>
      <c r="V412" s="33"/>
      <c r="AF412" s="33"/>
      <c r="AP412" s="31"/>
      <c r="AQ412" s="34"/>
      <c r="AX412" s="33"/>
      <c r="BA412" s="83"/>
      <c r="BB412" s="84"/>
      <c r="BC412" s="85"/>
      <c r="BD412" s="84"/>
    </row>
    <row r="413" spans="1:56" s="23" customFormat="1" x14ac:dyDescent="0.25">
      <c r="A413" s="30"/>
      <c r="L413" s="31"/>
      <c r="M413" s="32"/>
      <c r="V413" s="33"/>
      <c r="AF413" s="33"/>
      <c r="AP413" s="31"/>
      <c r="AQ413" s="34"/>
      <c r="AX413" s="33"/>
      <c r="BA413" s="83"/>
      <c r="BB413" s="84"/>
      <c r="BC413" s="85"/>
      <c r="BD413" s="84"/>
    </row>
    <row r="414" spans="1:56" s="23" customFormat="1" x14ac:dyDescent="0.25">
      <c r="A414" s="30"/>
      <c r="L414" s="31"/>
      <c r="M414" s="32"/>
      <c r="V414" s="33"/>
      <c r="AF414" s="33"/>
      <c r="AP414" s="31"/>
      <c r="AQ414" s="34"/>
      <c r="AX414" s="33"/>
      <c r="BA414" s="83"/>
      <c r="BB414" s="84"/>
      <c r="BC414" s="85"/>
      <c r="BD414" s="84"/>
    </row>
    <row r="415" spans="1:56" s="23" customFormat="1" x14ac:dyDescent="0.25">
      <c r="A415" s="30"/>
      <c r="L415" s="31"/>
      <c r="M415" s="32"/>
      <c r="V415" s="33"/>
      <c r="AF415" s="33"/>
      <c r="AP415" s="31"/>
      <c r="AQ415" s="34"/>
      <c r="AX415" s="33"/>
      <c r="BA415" s="83"/>
      <c r="BB415" s="84"/>
      <c r="BC415" s="85"/>
      <c r="BD415" s="84"/>
    </row>
    <row r="416" spans="1:56" s="23" customFormat="1" x14ac:dyDescent="0.25">
      <c r="A416" s="30"/>
      <c r="L416" s="31"/>
      <c r="M416" s="32"/>
      <c r="V416" s="33"/>
      <c r="AF416" s="33"/>
      <c r="AP416" s="31"/>
      <c r="AQ416" s="34"/>
      <c r="AX416" s="33"/>
      <c r="BA416" s="83"/>
      <c r="BB416" s="84"/>
      <c r="BC416" s="85"/>
      <c r="BD416" s="84"/>
    </row>
    <row r="417" spans="1:56" s="23" customFormat="1" x14ac:dyDescent="0.25">
      <c r="A417" s="30"/>
      <c r="L417" s="31"/>
      <c r="M417" s="32"/>
      <c r="V417" s="33"/>
      <c r="AF417" s="33"/>
      <c r="AP417" s="31"/>
      <c r="AQ417" s="34"/>
      <c r="AX417" s="33"/>
      <c r="BA417" s="83"/>
      <c r="BB417" s="84"/>
      <c r="BC417" s="85"/>
      <c r="BD417" s="84"/>
    </row>
    <row r="418" spans="1:56" s="23" customFormat="1" x14ac:dyDescent="0.25">
      <c r="A418" s="30"/>
      <c r="L418" s="31"/>
      <c r="M418" s="32"/>
      <c r="V418" s="33"/>
      <c r="AF418" s="33"/>
      <c r="AP418" s="31"/>
      <c r="AQ418" s="34"/>
      <c r="AX418" s="33"/>
      <c r="BA418" s="83"/>
      <c r="BB418" s="84"/>
      <c r="BC418" s="85"/>
      <c r="BD418" s="84"/>
    </row>
    <row r="419" spans="1:56" s="23" customFormat="1" x14ac:dyDescent="0.25">
      <c r="A419" s="30"/>
      <c r="L419" s="31"/>
      <c r="M419" s="32"/>
      <c r="V419" s="33"/>
      <c r="AF419" s="33"/>
      <c r="AP419" s="31"/>
      <c r="AQ419" s="34"/>
      <c r="AX419" s="33"/>
      <c r="BA419" s="83"/>
      <c r="BB419" s="84"/>
      <c r="BC419" s="85"/>
      <c r="BD419" s="84"/>
    </row>
    <row r="420" spans="1:56" s="23" customFormat="1" x14ac:dyDescent="0.25">
      <c r="A420" s="30"/>
      <c r="L420" s="31"/>
      <c r="M420" s="32"/>
      <c r="V420" s="33"/>
      <c r="AF420" s="33"/>
      <c r="AP420" s="31"/>
      <c r="AQ420" s="34"/>
      <c r="AX420" s="33"/>
      <c r="BA420" s="83"/>
      <c r="BB420" s="84"/>
      <c r="BC420" s="85"/>
      <c r="BD420" s="84"/>
    </row>
    <row r="421" spans="1:56" s="23" customFormat="1" x14ac:dyDescent="0.25">
      <c r="A421" s="30"/>
      <c r="L421" s="31"/>
      <c r="M421" s="32"/>
      <c r="V421" s="33"/>
      <c r="AF421" s="33"/>
      <c r="AP421" s="31"/>
      <c r="AQ421" s="34"/>
      <c r="AX421" s="33"/>
      <c r="BA421" s="83"/>
      <c r="BB421" s="84"/>
      <c r="BC421" s="85"/>
      <c r="BD421" s="84"/>
    </row>
    <row r="422" spans="1:56" s="23" customFormat="1" x14ac:dyDescent="0.25">
      <c r="A422" s="30"/>
      <c r="L422" s="31"/>
      <c r="M422" s="32"/>
      <c r="V422" s="33"/>
      <c r="AF422" s="33"/>
      <c r="AP422" s="31"/>
      <c r="AQ422" s="34"/>
      <c r="AX422" s="33"/>
      <c r="BA422" s="83"/>
      <c r="BB422" s="84"/>
      <c r="BC422" s="85"/>
      <c r="BD422" s="84"/>
    </row>
    <row r="423" spans="1:56" s="23" customFormat="1" x14ac:dyDescent="0.25">
      <c r="A423" s="30"/>
      <c r="L423" s="31"/>
      <c r="M423" s="32"/>
      <c r="V423" s="33"/>
      <c r="AF423" s="33"/>
      <c r="AP423" s="31"/>
      <c r="AQ423" s="34"/>
      <c r="AX423" s="33"/>
      <c r="BA423" s="83"/>
      <c r="BB423" s="84"/>
      <c r="BC423" s="85"/>
      <c r="BD423" s="84"/>
    </row>
    <row r="424" spans="1:56" s="23" customFormat="1" x14ac:dyDescent="0.25">
      <c r="A424" s="30"/>
      <c r="L424" s="31"/>
      <c r="M424" s="32"/>
      <c r="V424" s="33"/>
      <c r="AF424" s="33"/>
      <c r="AP424" s="31"/>
      <c r="AQ424" s="34"/>
      <c r="AX424" s="33"/>
      <c r="BA424" s="83"/>
      <c r="BB424" s="84"/>
      <c r="BC424" s="85"/>
      <c r="BD424" s="84"/>
    </row>
    <row r="425" spans="1:56" s="23" customFormat="1" x14ac:dyDescent="0.25">
      <c r="A425" s="30"/>
      <c r="L425" s="31"/>
      <c r="M425" s="32"/>
      <c r="V425" s="33"/>
      <c r="AF425" s="33"/>
      <c r="AP425" s="31"/>
      <c r="AQ425" s="34"/>
      <c r="AX425" s="33"/>
      <c r="BA425" s="83"/>
      <c r="BB425" s="84"/>
      <c r="BC425" s="85"/>
      <c r="BD425" s="84"/>
    </row>
    <row r="426" spans="1:56" s="23" customFormat="1" x14ac:dyDescent="0.25">
      <c r="A426" s="30"/>
      <c r="L426" s="31"/>
      <c r="M426" s="32"/>
      <c r="V426" s="33"/>
      <c r="AF426" s="33"/>
      <c r="AP426" s="31"/>
      <c r="AQ426" s="34"/>
      <c r="AX426" s="33"/>
      <c r="BA426" s="83"/>
      <c r="BB426" s="84"/>
      <c r="BC426" s="85"/>
      <c r="BD426" s="84"/>
    </row>
    <row r="427" spans="1:56" s="23" customFormat="1" x14ac:dyDescent="0.25">
      <c r="A427" s="30"/>
      <c r="L427" s="31"/>
      <c r="M427" s="32"/>
      <c r="V427" s="33"/>
      <c r="AF427" s="33"/>
      <c r="AP427" s="31"/>
      <c r="AQ427" s="34"/>
      <c r="AX427" s="33"/>
      <c r="BA427" s="83"/>
      <c r="BB427" s="84"/>
      <c r="BC427" s="85"/>
      <c r="BD427" s="84"/>
    </row>
    <row r="428" spans="1:56" s="23" customFormat="1" x14ac:dyDescent="0.25">
      <c r="A428" s="30"/>
      <c r="L428" s="31"/>
      <c r="M428" s="32"/>
      <c r="V428" s="33"/>
      <c r="AF428" s="33"/>
      <c r="AP428" s="31"/>
      <c r="AQ428" s="34"/>
      <c r="AX428" s="33"/>
      <c r="BA428" s="83"/>
      <c r="BB428" s="84"/>
      <c r="BC428" s="85"/>
      <c r="BD428" s="84"/>
    </row>
    <row r="429" spans="1:56" s="23" customFormat="1" x14ac:dyDescent="0.25">
      <c r="A429" s="30"/>
      <c r="L429" s="31"/>
      <c r="M429" s="32"/>
      <c r="V429" s="33"/>
      <c r="AF429" s="33"/>
      <c r="AP429" s="31"/>
      <c r="AQ429" s="34"/>
      <c r="AX429" s="33"/>
      <c r="BA429" s="83"/>
      <c r="BB429" s="84"/>
      <c r="BC429" s="85"/>
      <c r="BD429" s="84"/>
    </row>
    <row r="430" spans="1:56" s="23" customFormat="1" x14ac:dyDescent="0.25">
      <c r="A430" s="30"/>
      <c r="L430" s="31"/>
      <c r="M430" s="32"/>
      <c r="V430" s="33"/>
      <c r="AF430" s="33"/>
      <c r="AP430" s="31"/>
      <c r="AQ430" s="34"/>
      <c r="AX430" s="33"/>
      <c r="BA430" s="83"/>
      <c r="BB430" s="84"/>
      <c r="BC430" s="85"/>
      <c r="BD430" s="84"/>
    </row>
    <row r="431" spans="1:56" s="23" customFormat="1" x14ac:dyDescent="0.25">
      <c r="A431" s="30"/>
      <c r="L431" s="31"/>
      <c r="M431" s="32"/>
      <c r="V431" s="33"/>
      <c r="AF431" s="33"/>
      <c r="AP431" s="31"/>
      <c r="AQ431" s="34"/>
      <c r="AX431" s="33"/>
      <c r="BA431" s="83"/>
      <c r="BB431" s="84"/>
      <c r="BC431" s="85"/>
      <c r="BD431" s="84"/>
    </row>
    <row r="432" spans="1:56" s="23" customFormat="1" x14ac:dyDescent="0.25">
      <c r="A432" s="30"/>
      <c r="L432" s="31"/>
      <c r="M432" s="32"/>
      <c r="V432" s="33"/>
      <c r="AF432" s="33"/>
      <c r="AP432" s="31"/>
      <c r="AQ432" s="34"/>
      <c r="AX432" s="33"/>
      <c r="BA432" s="83"/>
      <c r="BB432" s="84"/>
      <c r="BC432" s="85"/>
      <c r="BD432" s="84"/>
    </row>
    <row r="433" spans="1:56" s="23" customFormat="1" x14ac:dyDescent="0.25">
      <c r="A433" s="30"/>
      <c r="L433" s="31"/>
      <c r="M433" s="32"/>
      <c r="V433" s="33"/>
      <c r="AF433" s="33"/>
      <c r="AP433" s="31"/>
      <c r="AQ433" s="34"/>
      <c r="AX433" s="33"/>
      <c r="BA433" s="83"/>
      <c r="BB433" s="84"/>
      <c r="BC433" s="85"/>
      <c r="BD433" s="84"/>
    </row>
    <row r="434" spans="1:56" s="23" customFormat="1" x14ac:dyDescent="0.25">
      <c r="A434" s="30"/>
      <c r="L434" s="31"/>
      <c r="M434" s="32"/>
      <c r="V434" s="33"/>
      <c r="AF434" s="33"/>
      <c r="AP434" s="31"/>
      <c r="AQ434" s="34"/>
      <c r="AX434" s="33"/>
      <c r="BA434" s="83"/>
      <c r="BB434" s="84"/>
      <c r="BC434" s="85"/>
      <c r="BD434" s="84"/>
    </row>
    <row r="435" spans="1:56" s="23" customFormat="1" x14ac:dyDescent="0.25">
      <c r="A435" s="30"/>
      <c r="L435" s="31"/>
      <c r="M435" s="32"/>
      <c r="V435" s="33"/>
      <c r="AF435" s="33"/>
      <c r="AP435" s="31"/>
      <c r="AQ435" s="34"/>
      <c r="AX435" s="33"/>
      <c r="BA435" s="83"/>
      <c r="BB435" s="84"/>
      <c r="BC435" s="85"/>
      <c r="BD435" s="84"/>
    </row>
    <row r="436" spans="1:56" s="23" customFormat="1" x14ac:dyDescent="0.25">
      <c r="A436" s="30"/>
      <c r="L436" s="31"/>
      <c r="M436" s="32"/>
      <c r="V436" s="33"/>
      <c r="AF436" s="33"/>
      <c r="AP436" s="31"/>
      <c r="AQ436" s="34"/>
      <c r="AX436" s="33"/>
      <c r="BA436" s="83"/>
      <c r="BB436" s="84"/>
      <c r="BC436" s="85"/>
      <c r="BD436" s="84"/>
    </row>
    <row r="437" spans="1:56" s="23" customFormat="1" x14ac:dyDescent="0.25">
      <c r="A437" s="30"/>
      <c r="L437" s="31"/>
      <c r="M437" s="32"/>
      <c r="V437" s="33"/>
      <c r="AF437" s="33"/>
      <c r="AP437" s="31"/>
      <c r="AQ437" s="34"/>
      <c r="AX437" s="33"/>
      <c r="BA437" s="83"/>
      <c r="BB437" s="84"/>
      <c r="BC437" s="85"/>
      <c r="BD437" s="84"/>
    </row>
    <row r="438" spans="1:56" s="23" customFormat="1" x14ac:dyDescent="0.25">
      <c r="A438" s="30"/>
      <c r="L438" s="31"/>
      <c r="M438" s="32"/>
      <c r="V438" s="33"/>
      <c r="AF438" s="33"/>
      <c r="AP438" s="31"/>
      <c r="AQ438" s="34"/>
      <c r="AX438" s="33"/>
      <c r="BA438" s="83"/>
      <c r="BB438" s="84"/>
      <c r="BC438" s="85"/>
      <c r="BD438" s="84"/>
    </row>
    <row r="439" spans="1:56" s="23" customFormat="1" x14ac:dyDescent="0.25">
      <c r="A439" s="30"/>
      <c r="L439" s="31"/>
      <c r="M439" s="32"/>
      <c r="V439" s="33"/>
      <c r="AF439" s="33"/>
      <c r="AP439" s="31"/>
      <c r="AQ439" s="34"/>
      <c r="AX439" s="33"/>
      <c r="BA439" s="83"/>
      <c r="BB439" s="84"/>
      <c r="BC439" s="85"/>
      <c r="BD439" s="84"/>
    </row>
    <row r="440" spans="1:56" s="23" customFormat="1" x14ac:dyDescent="0.25">
      <c r="A440" s="30"/>
      <c r="L440" s="31"/>
      <c r="M440" s="32"/>
      <c r="V440" s="33"/>
      <c r="AF440" s="33"/>
      <c r="AP440" s="31"/>
      <c r="AQ440" s="34"/>
      <c r="AX440" s="33"/>
      <c r="BA440" s="83"/>
      <c r="BB440" s="84"/>
      <c r="BC440" s="85"/>
      <c r="BD440" s="84"/>
    </row>
    <row r="441" spans="1:56" s="23" customFormat="1" x14ac:dyDescent="0.25">
      <c r="A441" s="30"/>
      <c r="L441" s="31"/>
      <c r="M441" s="32"/>
      <c r="V441" s="33"/>
      <c r="AF441" s="33"/>
      <c r="AP441" s="31"/>
      <c r="AQ441" s="34"/>
      <c r="AX441" s="33"/>
      <c r="BA441" s="83"/>
      <c r="BB441" s="84"/>
      <c r="BC441" s="85"/>
      <c r="BD441" s="84"/>
    </row>
    <row r="442" spans="1:56" s="23" customFormat="1" x14ac:dyDescent="0.25">
      <c r="A442" s="30"/>
      <c r="L442" s="31"/>
      <c r="M442" s="32"/>
      <c r="V442" s="33"/>
      <c r="AF442" s="33"/>
      <c r="AP442" s="31"/>
      <c r="AQ442" s="34"/>
      <c r="AX442" s="33"/>
      <c r="BA442" s="83"/>
      <c r="BB442" s="84"/>
      <c r="BC442" s="85"/>
      <c r="BD442" s="84"/>
    </row>
    <row r="443" spans="1:56" s="23" customFormat="1" x14ac:dyDescent="0.25">
      <c r="A443" s="30"/>
      <c r="L443" s="31"/>
      <c r="M443" s="32"/>
      <c r="V443" s="33"/>
      <c r="AF443" s="33"/>
      <c r="AP443" s="31"/>
      <c r="AQ443" s="34"/>
      <c r="AX443" s="33"/>
      <c r="BA443" s="83"/>
      <c r="BB443" s="84"/>
      <c r="BC443" s="85"/>
      <c r="BD443" s="84"/>
    </row>
    <row r="444" spans="1:56" s="23" customFormat="1" x14ac:dyDescent="0.25">
      <c r="A444" s="30"/>
      <c r="L444" s="31"/>
      <c r="M444" s="32"/>
      <c r="V444" s="33"/>
      <c r="AF444" s="33"/>
      <c r="AP444" s="31"/>
      <c r="AQ444" s="34"/>
      <c r="AX444" s="33"/>
      <c r="BA444" s="83"/>
      <c r="BB444" s="84"/>
      <c r="BC444" s="85"/>
      <c r="BD444" s="84"/>
    </row>
    <row r="445" spans="1:56" s="23" customFormat="1" x14ac:dyDescent="0.25">
      <c r="A445" s="30"/>
      <c r="L445" s="31"/>
      <c r="M445" s="32"/>
      <c r="V445" s="33"/>
      <c r="AF445" s="33"/>
      <c r="AP445" s="31"/>
      <c r="AQ445" s="34"/>
      <c r="AX445" s="33"/>
      <c r="BA445" s="83"/>
      <c r="BB445" s="84"/>
      <c r="BC445" s="85"/>
      <c r="BD445" s="84"/>
    </row>
    <row r="446" spans="1:56" s="23" customFormat="1" x14ac:dyDescent="0.25">
      <c r="A446" s="30"/>
      <c r="L446" s="31"/>
      <c r="M446" s="32"/>
      <c r="V446" s="33"/>
      <c r="AF446" s="33"/>
      <c r="AP446" s="31"/>
      <c r="AQ446" s="34"/>
      <c r="AX446" s="33"/>
      <c r="BA446" s="83"/>
      <c r="BB446" s="84"/>
      <c r="BC446" s="85"/>
      <c r="BD446" s="84"/>
    </row>
    <row r="447" spans="1:56" s="23" customFormat="1" x14ac:dyDescent="0.25">
      <c r="A447" s="30"/>
      <c r="L447" s="31"/>
      <c r="M447" s="32"/>
      <c r="V447" s="33"/>
      <c r="AF447" s="33"/>
      <c r="AP447" s="31"/>
      <c r="AQ447" s="34"/>
      <c r="AX447" s="33"/>
      <c r="BA447" s="83"/>
      <c r="BB447" s="84"/>
      <c r="BC447" s="85"/>
      <c r="BD447" s="84"/>
    </row>
    <row r="448" spans="1:56" s="23" customFormat="1" x14ac:dyDescent="0.25">
      <c r="A448" s="30"/>
      <c r="L448" s="31"/>
      <c r="M448" s="32"/>
      <c r="V448" s="33"/>
      <c r="AF448" s="33"/>
      <c r="AP448" s="31"/>
      <c r="AQ448" s="34"/>
      <c r="AX448" s="33"/>
      <c r="BA448" s="83"/>
      <c r="BB448" s="84"/>
      <c r="BC448" s="85"/>
      <c r="BD448" s="84"/>
    </row>
    <row r="449" spans="1:56" s="23" customFormat="1" x14ac:dyDescent="0.25">
      <c r="A449" s="30"/>
      <c r="L449" s="31"/>
      <c r="M449" s="32"/>
      <c r="V449" s="33"/>
      <c r="AF449" s="33"/>
      <c r="AP449" s="31"/>
      <c r="AQ449" s="34"/>
      <c r="AX449" s="33"/>
      <c r="BA449" s="83"/>
      <c r="BB449" s="84"/>
      <c r="BC449" s="85"/>
      <c r="BD449" s="84"/>
    </row>
    <row r="450" spans="1:56" s="23" customFormat="1" x14ac:dyDescent="0.25">
      <c r="A450" s="30"/>
      <c r="L450" s="31"/>
      <c r="M450" s="32"/>
      <c r="V450" s="33"/>
      <c r="AF450" s="33"/>
      <c r="AP450" s="31"/>
      <c r="AQ450" s="34"/>
      <c r="AX450" s="33"/>
      <c r="BA450" s="83"/>
      <c r="BB450" s="84"/>
      <c r="BC450" s="85"/>
      <c r="BD450" s="84"/>
    </row>
    <row r="451" spans="1:56" s="23" customFormat="1" x14ac:dyDescent="0.25">
      <c r="A451" s="30"/>
      <c r="L451" s="31"/>
      <c r="M451" s="32"/>
      <c r="V451" s="33"/>
      <c r="AF451" s="33"/>
      <c r="AP451" s="31"/>
      <c r="AQ451" s="34"/>
      <c r="AX451" s="33"/>
      <c r="BA451" s="83"/>
      <c r="BB451" s="84"/>
      <c r="BC451" s="85"/>
      <c r="BD451" s="84"/>
    </row>
    <row r="452" spans="1:56" s="23" customFormat="1" x14ac:dyDescent="0.25">
      <c r="A452" s="30"/>
      <c r="L452" s="31"/>
      <c r="M452" s="32"/>
      <c r="V452" s="33"/>
      <c r="AF452" s="33"/>
      <c r="AP452" s="31"/>
      <c r="AQ452" s="34"/>
      <c r="AX452" s="33"/>
      <c r="BA452" s="83"/>
      <c r="BB452" s="84"/>
      <c r="BC452" s="85"/>
      <c r="BD452" s="84"/>
    </row>
    <row r="453" spans="1:56" s="23" customFormat="1" x14ac:dyDescent="0.25">
      <c r="A453" s="30"/>
      <c r="L453" s="31"/>
      <c r="M453" s="32"/>
      <c r="V453" s="33"/>
      <c r="AF453" s="33"/>
      <c r="AP453" s="31"/>
      <c r="AQ453" s="34"/>
      <c r="AX453" s="33"/>
      <c r="BA453" s="83"/>
      <c r="BB453" s="84"/>
      <c r="BC453" s="85"/>
      <c r="BD453" s="84"/>
    </row>
    <row r="454" spans="1:56" s="23" customFormat="1" x14ac:dyDescent="0.25">
      <c r="A454" s="30"/>
      <c r="L454" s="31"/>
      <c r="M454" s="32"/>
      <c r="V454" s="33"/>
      <c r="AF454" s="33"/>
      <c r="AP454" s="31"/>
      <c r="AQ454" s="34"/>
      <c r="AX454" s="33"/>
      <c r="BA454" s="83"/>
      <c r="BB454" s="84"/>
      <c r="BC454" s="85"/>
      <c r="BD454" s="84"/>
    </row>
    <row r="455" spans="1:56" s="23" customFormat="1" x14ac:dyDescent="0.25">
      <c r="A455" s="30"/>
      <c r="L455" s="31"/>
      <c r="M455" s="32"/>
      <c r="V455" s="33"/>
      <c r="AF455" s="33"/>
      <c r="AP455" s="31"/>
      <c r="AQ455" s="34"/>
      <c r="AX455" s="33"/>
      <c r="BA455" s="83"/>
      <c r="BB455" s="84"/>
      <c r="BC455" s="85"/>
      <c r="BD455" s="84"/>
    </row>
    <row r="456" spans="1:56" s="23" customFormat="1" x14ac:dyDescent="0.25">
      <c r="A456" s="30"/>
      <c r="L456" s="31"/>
      <c r="M456" s="32"/>
      <c r="V456" s="33"/>
      <c r="AF456" s="33"/>
      <c r="AP456" s="31"/>
      <c r="AQ456" s="34"/>
      <c r="AX456" s="33"/>
      <c r="BA456" s="83"/>
      <c r="BB456" s="84"/>
      <c r="BC456" s="85"/>
      <c r="BD456" s="84"/>
    </row>
    <row r="457" spans="1:56" s="23" customFormat="1" x14ac:dyDescent="0.25">
      <c r="A457" s="30"/>
      <c r="L457" s="31"/>
      <c r="M457" s="32"/>
      <c r="V457" s="33"/>
      <c r="AF457" s="33"/>
      <c r="AP457" s="31"/>
      <c r="AQ457" s="34"/>
      <c r="AX457" s="33"/>
      <c r="BA457" s="83"/>
      <c r="BB457" s="84"/>
      <c r="BC457" s="85"/>
      <c r="BD457" s="84"/>
    </row>
    <row r="458" spans="1:56" s="23" customFormat="1" x14ac:dyDescent="0.25">
      <c r="A458" s="30"/>
      <c r="L458" s="31"/>
      <c r="M458" s="32"/>
      <c r="V458" s="33"/>
      <c r="AF458" s="33"/>
      <c r="AP458" s="31"/>
      <c r="AQ458" s="34"/>
      <c r="AX458" s="33"/>
      <c r="BA458" s="83"/>
      <c r="BB458" s="84"/>
      <c r="BC458" s="85"/>
      <c r="BD458" s="84"/>
    </row>
    <row r="459" spans="1:56" s="23" customFormat="1" x14ac:dyDescent="0.25">
      <c r="A459" s="30"/>
      <c r="L459" s="31"/>
      <c r="M459" s="32"/>
      <c r="V459" s="33"/>
      <c r="AF459" s="33"/>
      <c r="AP459" s="31"/>
      <c r="AQ459" s="34"/>
      <c r="AX459" s="33"/>
      <c r="BA459" s="83"/>
      <c r="BB459" s="84"/>
      <c r="BC459" s="85"/>
      <c r="BD459" s="84"/>
    </row>
    <row r="460" spans="1:56" s="23" customFormat="1" x14ac:dyDescent="0.25">
      <c r="A460" s="30"/>
      <c r="L460" s="31"/>
      <c r="M460" s="32"/>
      <c r="V460" s="33"/>
      <c r="AF460" s="33"/>
      <c r="AP460" s="31"/>
      <c r="AQ460" s="34"/>
      <c r="AX460" s="33"/>
      <c r="BA460" s="83"/>
      <c r="BB460" s="84"/>
      <c r="BC460" s="85"/>
      <c r="BD460" s="84"/>
    </row>
    <row r="461" spans="1:56" s="23" customFormat="1" x14ac:dyDescent="0.25">
      <c r="A461" s="30"/>
      <c r="L461" s="31"/>
      <c r="M461" s="32"/>
      <c r="V461" s="33"/>
      <c r="AF461" s="33"/>
      <c r="AP461" s="31"/>
      <c r="AQ461" s="34"/>
      <c r="AX461" s="33"/>
      <c r="BA461" s="83"/>
      <c r="BB461" s="84"/>
      <c r="BC461" s="85"/>
      <c r="BD461" s="84"/>
    </row>
    <row r="462" spans="1:56" s="23" customFormat="1" x14ac:dyDescent="0.25">
      <c r="A462" s="30"/>
      <c r="L462" s="31"/>
      <c r="M462" s="32"/>
      <c r="V462" s="33"/>
      <c r="AF462" s="33"/>
      <c r="AP462" s="31"/>
      <c r="AQ462" s="34"/>
      <c r="AX462" s="33"/>
      <c r="BA462" s="83"/>
      <c r="BB462" s="84"/>
      <c r="BC462" s="85"/>
      <c r="BD462" s="84"/>
    </row>
    <row r="463" spans="1:56" s="23" customFormat="1" x14ac:dyDescent="0.25">
      <c r="A463" s="30"/>
      <c r="L463" s="31"/>
      <c r="M463" s="32"/>
      <c r="V463" s="33"/>
      <c r="AF463" s="33"/>
      <c r="AP463" s="31"/>
      <c r="AQ463" s="34"/>
      <c r="AX463" s="33"/>
      <c r="BA463" s="83"/>
      <c r="BB463" s="84"/>
      <c r="BC463" s="85"/>
      <c r="BD463" s="84"/>
    </row>
    <row r="464" spans="1:56" s="23" customFormat="1" x14ac:dyDescent="0.25">
      <c r="A464" s="30"/>
      <c r="L464" s="31"/>
      <c r="M464" s="32"/>
      <c r="V464" s="33"/>
      <c r="AF464" s="33"/>
      <c r="AP464" s="31"/>
      <c r="AQ464" s="34"/>
      <c r="AX464" s="33"/>
      <c r="BA464" s="83"/>
      <c r="BB464" s="84"/>
      <c r="BC464" s="85"/>
      <c r="BD464" s="84"/>
    </row>
    <row r="465" spans="1:56" s="23" customFormat="1" x14ac:dyDescent="0.25">
      <c r="A465" s="30"/>
      <c r="L465" s="31"/>
      <c r="M465" s="32"/>
      <c r="V465" s="33"/>
      <c r="AF465" s="33"/>
      <c r="AP465" s="31"/>
      <c r="AQ465" s="34"/>
      <c r="AX465" s="33"/>
      <c r="BA465" s="83"/>
      <c r="BB465" s="84"/>
      <c r="BC465" s="85"/>
      <c r="BD465" s="84"/>
    </row>
    <row r="466" spans="1:56" s="23" customFormat="1" x14ac:dyDescent="0.25">
      <c r="A466" s="30"/>
      <c r="L466" s="31"/>
      <c r="M466" s="32"/>
      <c r="V466" s="33"/>
      <c r="AF466" s="33"/>
      <c r="AP466" s="31"/>
      <c r="AQ466" s="34"/>
      <c r="AX466" s="33"/>
      <c r="BA466" s="83"/>
      <c r="BB466" s="84"/>
      <c r="BC466" s="85"/>
      <c r="BD466" s="84"/>
    </row>
    <row r="467" spans="1:56" s="23" customFormat="1" x14ac:dyDescent="0.25">
      <c r="A467" s="30"/>
      <c r="L467" s="31"/>
      <c r="M467" s="32"/>
      <c r="V467" s="33"/>
      <c r="AF467" s="33"/>
      <c r="AP467" s="31"/>
      <c r="AQ467" s="34"/>
      <c r="AX467" s="33"/>
      <c r="BA467" s="83"/>
      <c r="BB467" s="84"/>
      <c r="BC467" s="85"/>
      <c r="BD467" s="84"/>
    </row>
    <row r="468" spans="1:56" s="23" customFormat="1" x14ac:dyDescent="0.25">
      <c r="A468" s="30"/>
      <c r="L468" s="31"/>
      <c r="M468" s="32"/>
      <c r="V468" s="33"/>
      <c r="AF468" s="33"/>
      <c r="AP468" s="31"/>
      <c r="AQ468" s="34"/>
      <c r="AX468" s="33"/>
      <c r="BA468" s="83"/>
      <c r="BB468" s="84"/>
      <c r="BC468" s="85"/>
      <c r="BD468" s="84"/>
    </row>
    <row r="469" spans="1:56" s="23" customFormat="1" x14ac:dyDescent="0.25">
      <c r="A469" s="30"/>
      <c r="L469" s="31"/>
      <c r="M469" s="32"/>
      <c r="V469" s="33"/>
      <c r="AF469" s="33"/>
      <c r="AP469" s="31"/>
      <c r="AQ469" s="34"/>
      <c r="AX469" s="33"/>
      <c r="BA469" s="83"/>
      <c r="BB469" s="84"/>
      <c r="BC469" s="85"/>
      <c r="BD469" s="84"/>
    </row>
    <row r="470" spans="1:56" s="23" customFormat="1" x14ac:dyDescent="0.25">
      <c r="A470" s="30"/>
      <c r="L470" s="31"/>
      <c r="M470" s="32"/>
      <c r="V470" s="33"/>
      <c r="AF470" s="33"/>
      <c r="AP470" s="31"/>
      <c r="AQ470" s="34"/>
      <c r="AX470" s="33"/>
      <c r="BA470" s="83"/>
      <c r="BB470" s="84"/>
      <c r="BC470" s="85"/>
      <c r="BD470" s="84"/>
    </row>
    <row r="471" spans="1:56" s="23" customFormat="1" x14ac:dyDescent="0.25">
      <c r="A471" s="30"/>
      <c r="L471" s="31"/>
      <c r="M471" s="32"/>
      <c r="V471" s="33"/>
      <c r="AF471" s="33"/>
      <c r="AP471" s="31"/>
      <c r="AQ471" s="34"/>
      <c r="AX471" s="33"/>
      <c r="BA471" s="83"/>
      <c r="BB471" s="84"/>
      <c r="BC471" s="85"/>
      <c r="BD471" s="84"/>
    </row>
    <row r="472" spans="1:56" s="23" customFormat="1" x14ac:dyDescent="0.25">
      <c r="A472" s="30"/>
      <c r="L472" s="31"/>
      <c r="M472" s="32"/>
      <c r="V472" s="33"/>
      <c r="AF472" s="33"/>
      <c r="AP472" s="31"/>
      <c r="AQ472" s="34"/>
      <c r="AX472" s="33"/>
      <c r="BA472" s="83"/>
      <c r="BB472" s="84"/>
      <c r="BC472" s="85"/>
      <c r="BD472" s="84"/>
    </row>
    <row r="473" spans="1:56" s="23" customFormat="1" x14ac:dyDescent="0.25">
      <c r="A473" s="30"/>
      <c r="L473" s="31"/>
      <c r="M473" s="32"/>
      <c r="V473" s="33"/>
      <c r="AF473" s="33"/>
      <c r="AP473" s="31"/>
      <c r="AQ473" s="34"/>
      <c r="AX473" s="33"/>
      <c r="BA473" s="83"/>
      <c r="BB473" s="84"/>
      <c r="BC473" s="85"/>
      <c r="BD473" s="84"/>
    </row>
    <row r="474" spans="1:56" s="23" customFormat="1" x14ac:dyDescent="0.25">
      <c r="A474" s="30"/>
      <c r="L474" s="31"/>
      <c r="M474" s="32"/>
      <c r="V474" s="33"/>
      <c r="AF474" s="33"/>
      <c r="AP474" s="31"/>
      <c r="AQ474" s="34"/>
      <c r="AX474" s="33"/>
      <c r="BA474" s="83"/>
      <c r="BB474" s="84"/>
      <c r="BC474" s="85"/>
      <c r="BD474" s="84"/>
    </row>
    <row r="475" spans="1:56" s="23" customFormat="1" x14ac:dyDescent="0.25">
      <c r="A475" s="30"/>
      <c r="L475" s="31"/>
      <c r="M475" s="32"/>
      <c r="V475" s="33"/>
      <c r="AF475" s="33"/>
      <c r="AP475" s="31"/>
      <c r="AQ475" s="34"/>
      <c r="AX475" s="33"/>
      <c r="BA475" s="83"/>
      <c r="BB475" s="84"/>
      <c r="BC475" s="85"/>
      <c r="BD475" s="84"/>
    </row>
    <row r="476" spans="1:56" s="23" customFormat="1" x14ac:dyDescent="0.25">
      <c r="A476" s="30"/>
      <c r="L476" s="31"/>
      <c r="M476" s="32"/>
      <c r="V476" s="33"/>
      <c r="AF476" s="33"/>
      <c r="AP476" s="31"/>
      <c r="AQ476" s="34"/>
      <c r="AX476" s="33"/>
      <c r="BA476" s="83"/>
      <c r="BB476" s="84"/>
      <c r="BC476" s="85"/>
      <c r="BD476" s="84"/>
    </row>
    <row r="477" spans="1:56" s="23" customFormat="1" x14ac:dyDescent="0.25">
      <c r="A477" s="30"/>
      <c r="L477" s="31"/>
      <c r="M477" s="32"/>
      <c r="V477" s="33"/>
      <c r="AF477" s="33"/>
      <c r="AP477" s="31"/>
      <c r="AQ477" s="34"/>
      <c r="AX477" s="33"/>
      <c r="BA477" s="83"/>
      <c r="BB477" s="84"/>
      <c r="BC477" s="85"/>
      <c r="BD477" s="84"/>
    </row>
    <row r="478" spans="1:56" s="23" customFormat="1" x14ac:dyDescent="0.25">
      <c r="A478" s="30"/>
      <c r="L478" s="31"/>
      <c r="M478" s="32"/>
      <c r="V478" s="33"/>
      <c r="AF478" s="33"/>
      <c r="AP478" s="31"/>
      <c r="AQ478" s="34"/>
      <c r="AX478" s="33"/>
      <c r="BA478" s="83"/>
      <c r="BB478" s="84"/>
      <c r="BC478" s="85"/>
      <c r="BD478" s="84"/>
    </row>
    <row r="479" spans="1:56" s="23" customFormat="1" x14ac:dyDescent="0.25">
      <c r="A479" s="30"/>
      <c r="L479" s="31"/>
      <c r="M479" s="32"/>
      <c r="V479" s="33"/>
      <c r="AF479" s="33"/>
      <c r="AP479" s="31"/>
      <c r="AQ479" s="34"/>
      <c r="AX479" s="33"/>
      <c r="BA479" s="83"/>
      <c r="BB479" s="84"/>
      <c r="BC479" s="85"/>
      <c r="BD479" s="84"/>
    </row>
    <row r="480" spans="1:56" s="23" customFormat="1" x14ac:dyDescent="0.25">
      <c r="A480" s="30"/>
      <c r="L480" s="31"/>
      <c r="M480" s="32"/>
      <c r="V480" s="33"/>
      <c r="AF480" s="33"/>
      <c r="AP480" s="31"/>
      <c r="AQ480" s="34"/>
      <c r="AX480" s="33"/>
      <c r="BA480" s="83"/>
      <c r="BB480" s="84"/>
      <c r="BC480" s="85"/>
      <c r="BD480" s="84"/>
    </row>
    <row r="481" spans="1:56" s="23" customFormat="1" x14ac:dyDescent="0.25">
      <c r="A481" s="30"/>
      <c r="L481" s="31"/>
      <c r="M481" s="32"/>
      <c r="V481" s="33"/>
      <c r="AF481" s="33"/>
      <c r="AP481" s="31"/>
      <c r="AQ481" s="34"/>
      <c r="AX481" s="33"/>
      <c r="BA481" s="83"/>
      <c r="BB481" s="84"/>
      <c r="BC481" s="85"/>
      <c r="BD481" s="84"/>
    </row>
    <row r="482" spans="1:56" s="23" customFormat="1" x14ac:dyDescent="0.25">
      <c r="A482" s="30"/>
      <c r="L482" s="31"/>
      <c r="M482" s="32"/>
      <c r="V482" s="33"/>
      <c r="AF482" s="33"/>
      <c r="AP482" s="31"/>
      <c r="AQ482" s="34"/>
      <c r="AX482" s="33"/>
      <c r="BA482" s="83"/>
      <c r="BB482" s="84"/>
      <c r="BC482" s="85"/>
      <c r="BD482" s="84"/>
    </row>
    <row r="483" spans="1:56" s="23" customFormat="1" x14ac:dyDescent="0.25">
      <c r="A483" s="30"/>
      <c r="L483" s="31"/>
      <c r="M483" s="32"/>
      <c r="V483" s="33"/>
      <c r="AF483" s="33"/>
      <c r="AP483" s="31"/>
      <c r="AQ483" s="34"/>
      <c r="AX483" s="33"/>
      <c r="BA483" s="83"/>
      <c r="BB483" s="84"/>
      <c r="BC483" s="85"/>
      <c r="BD483" s="84"/>
    </row>
    <row r="484" spans="1:56" s="23" customFormat="1" x14ac:dyDescent="0.25">
      <c r="A484" s="30"/>
      <c r="L484" s="31"/>
      <c r="M484" s="32"/>
      <c r="V484" s="33"/>
      <c r="AF484" s="33"/>
      <c r="AP484" s="31"/>
      <c r="AQ484" s="34"/>
      <c r="AX484" s="33"/>
      <c r="BA484" s="83"/>
      <c r="BB484" s="84"/>
      <c r="BC484" s="85"/>
      <c r="BD484" s="84"/>
    </row>
    <row r="485" spans="1:56" s="23" customFormat="1" x14ac:dyDescent="0.25">
      <c r="A485" s="30"/>
      <c r="L485" s="31"/>
      <c r="M485" s="32"/>
      <c r="V485" s="33"/>
      <c r="AF485" s="33"/>
      <c r="AP485" s="31"/>
      <c r="AQ485" s="34"/>
      <c r="AX485" s="33"/>
      <c r="BA485" s="83"/>
      <c r="BB485" s="84"/>
      <c r="BC485" s="85"/>
      <c r="BD485" s="84"/>
    </row>
    <row r="486" spans="1:56" s="23" customFormat="1" x14ac:dyDescent="0.25">
      <c r="A486" s="30"/>
      <c r="L486" s="31"/>
      <c r="M486" s="32"/>
      <c r="V486" s="33"/>
      <c r="AF486" s="33"/>
      <c r="AP486" s="31"/>
      <c r="AQ486" s="34"/>
      <c r="AX486" s="33"/>
      <c r="BA486" s="83"/>
      <c r="BB486" s="84"/>
      <c r="BC486" s="85"/>
      <c r="BD486" s="84"/>
    </row>
    <row r="487" spans="1:56" s="23" customFormat="1" x14ac:dyDescent="0.25">
      <c r="A487" s="30"/>
      <c r="L487" s="31"/>
      <c r="M487" s="32"/>
      <c r="V487" s="33"/>
      <c r="AF487" s="33"/>
      <c r="AP487" s="31"/>
      <c r="AQ487" s="34"/>
      <c r="AX487" s="33"/>
      <c r="BA487" s="83"/>
      <c r="BB487" s="84"/>
      <c r="BC487" s="85"/>
      <c r="BD487" s="84"/>
    </row>
    <row r="488" spans="1:56" s="23" customFormat="1" x14ac:dyDescent="0.25">
      <c r="A488" s="30"/>
      <c r="L488" s="31"/>
      <c r="M488" s="32"/>
      <c r="V488" s="33"/>
      <c r="AF488" s="33"/>
      <c r="AP488" s="31"/>
      <c r="AQ488" s="34"/>
      <c r="AX488" s="33"/>
      <c r="BA488" s="83"/>
      <c r="BB488" s="84"/>
      <c r="BC488" s="85"/>
      <c r="BD488" s="84"/>
    </row>
    <row r="489" spans="1:56" s="23" customFormat="1" x14ac:dyDescent="0.25">
      <c r="A489" s="30"/>
      <c r="L489" s="31"/>
      <c r="M489" s="32"/>
      <c r="V489" s="33"/>
      <c r="AF489" s="33"/>
      <c r="AP489" s="31"/>
      <c r="AQ489" s="34"/>
      <c r="AX489" s="33"/>
      <c r="BA489" s="83"/>
      <c r="BB489" s="84"/>
      <c r="BC489" s="85"/>
      <c r="BD489" s="84"/>
    </row>
    <row r="490" spans="1:56" s="23" customFormat="1" x14ac:dyDescent="0.25">
      <c r="A490" s="30"/>
      <c r="L490" s="31"/>
      <c r="M490" s="32"/>
      <c r="V490" s="33"/>
      <c r="AF490" s="33"/>
      <c r="AP490" s="31"/>
      <c r="AQ490" s="34"/>
      <c r="AX490" s="33"/>
      <c r="BA490" s="83"/>
      <c r="BB490" s="84"/>
      <c r="BC490" s="85"/>
      <c r="BD490" s="84"/>
    </row>
    <row r="491" spans="1:56" s="23" customFormat="1" x14ac:dyDescent="0.25">
      <c r="A491" s="30"/>
      <c r="L491" s="31"/>
      <c r="M491" s="32"/>
      <c r="V491" s="33"/>
      <c r="AF491" s="33"/>
      <c r="AP491" s="31"/>
      <c r="AQ491" s="34"/>
      <c r="AX491" s="33"/>
      <c r="BA491" s="83"/>
      <c r="BB491" s="84"/>
      <c r="BC491" s="85"/>
      <c r="BD491" s="84"/>
    </row>
    <row r="492" spans="1:56" s="23" customFormat="1" x14ac:dyDescent="0.25">
      <c r="A492" s="30"/>
      <c r="L492" s="31"/>
      <c r="M492" s="32"/>
      <c r="V492" s="33"/>
      <c r="AF492" s="33"/>
      <c r="AP492" s="31"/>
      <c r="AQ492" s="34"/>
      <c r="AX492" s="33"/>
      <c r="BA492" s="83"/>
      <c r="BB492" s="84"/>
      <c r="BC492" s="85"/>
      <c r="BD492" s="84"/>
    </row>
    <row r="493" spans="1:56" s="23" customFormat="1" x14ac:dyDescent="0.25">
      <c r="A493" s="30"/>
      <c r="L493" s="31"/>
      <c r="M493" s="32"/>
      <c r="V493" s="33"/>
      <c r="AF493" s="33"/>
      <c r="AP493" s="31"/>
      <c r="AQ493" s="34"/>
      <c r="AX493" s="33"/>
      <c r="BA493" s="83"/>
      <c r="BB493" s="84"/>
      <c r="BC493" s="85"/>
      <c r="BD493" s="84"/>
    </row>
    <row r="494" spans="1:56" s="23" customFormat="1" x14ac:dyDescent="0.25">
      <c r="A494" s="30"/>
      <c r="L494" s="31"/>
      <c r="M494" s="32"/>
      <c r="V494" s="33"/>
      <c r="AF494" s="33"/>
      <c r="AP494" s="31"/>
      <c r="AQ494" s="34"/>
      <c r="AX494" s="33"/>
      <c r="BA494" s="83"/>
      <c r="BB494" s="84"/>
      <c r="BC494" s="85"/>
      <c r="BD494" s="84"/>
    </row>
    <row r="495" spans="1:56" s="23" customFormat="1" x14ac:dyDescent="0.25">
      <c r="A495" s="30"/>
      <c r="L495" s="31"/>
      <c r="M495" s="32"/>
      <c r="V495" s="33"/>
      <c r="AF495" s="33"/>
      <c r="AP495" s="31"/>
      <c r="AQ495" s="34"/>
      <c r="AX495" s="33"/>
      <c r="BA495" s="83"/>
      <c r="BB495" s="84"/>
      <c r="BC495" s="85"/>
      <c r="BD495" s="84"/>
    </row>
    <row r="496" spans="1:56" s="23" customFormat="1" x14ac:dyDescent="0.25">
      <c r="A496" s="30"/>
      <c r="L496" s="31"/>
      <c r="M496" s="32"/>
      <c r="V496" s="33"/>
      <c r="AF496" s="33"/>
      <c r="AP496" s="31"/>
      <c r="AQ496" s="34"/>
      <c r="AX496" s="33"/>
      <c r="BA496" s="83"/>
      <c r="BB496" s="84"/>
      <c r="BC496" s="85"/>
      <c r="BD496" s="84"/>
    </row>
    <row r="497" spans="1:56" s="23" customFormat="1" x14ac:dyDescent="0.25">
      <c r="A497" s="30"/>
      <c r="L497" s="31"/>
      <c r="M497" s="32"/>
      <c r="V497" s="33"/>
      <c r="AF497" s="33"/>
      <c r="AP497" s="31"/>
      <c r="AQ497" s="34"/>
      <c r="AX497" s="33"/>
      <c r="BA497" s="83"/>
      <c r="BB497" s="84"/>
      <c r="BC497" s="85"/>
      <c r="BD497" s="84"/>
    </row>
    <row r="498" spans="1:56" s="23" customFormat="1" x14ac:dyDescent="0.25">
      <c r="A498" s="30"/>
      <c r="L498" s="31"/>
      <c r="M498" s="32"/>
      <c r="V498" s="33"/>
      <c r="AF498" s="33"/>
      <c r="AP498" s="31"/>
      <c r="AQ498" s="34"/>
      <c r="AX498" s="33"/>
      <c r="BA498" s="83"/>
      <c r="BB498" s="84"/>
      <c r="BC498" s="85"/>
      <c r="BD498" s="84"/>
    </row>
    <row r="499" spans="1:56" s="23" customFormat="1" x14ac:dyDescent="0.25">
      <c r="A499" s="30"/>
      <c r="L499" s="31"/>
      <c r="M499" s="32"/>
      <c r="V499" s="33"/>
      <c r="AF499" s="33"/>
      <c r="AP499" s="31"/>
      <c r="AQ499" s="34"/>
      <c r="AX499" s="33"/>
      <c r="BA499" s="83"/>
      <c r="BB499" s="84"/>
      <c r="BC499" s="85"/>
      <c r="BD499" s="84"/>
    </row>
    <row r="500" spans="1:56" s="23" customFormat="1" x14ac:dyDescent="0.25">
      <c r="A500" s="30"/>
      <c r="L500" s="31"/>
      <c r="M500" s="32"/>
      <c r="V500" s="33"/>
      <c r="AF500" s="33"/>
      <c r="AP500" s="31"/>
      <c r="AQ500" s="34"/>
      <c r="AX500" s="33"/>
      <c r="BA500" s="83"/>
      <c r="BB500" s="84"/>
      <c r="BC500" s="85"/>
      <c r="BD500" s="84"/>
    </row>
    <row r="501" spans="1:56" s="23" customFormat="1" x14ac:dyDescent="0.25">
      <c r="A501" s="30"/>
      <c r="L501" s="31"/>
      <c r="M501" s="32"/>
      <c r="V501" s="33"/>
      <c r="AF501" s="33"/>
      <c r="AP501" s="31"/>
      <c r="AQ501" s="34"/>
      <c r="AX501" s="33"/>
      <c r="BA501" s="83"/>
      <c r="BB501" s="84"/>
      <c r="BC501" s="85"/>
      <c r="BD501" s="84"/>
    </row>
    <row r="502" spans="1:56" s="23" customFormat="1" x14ac:dyDescent="0.25">
      <c r="A502" s="30"/>
      <c r="L502" s="31"/>
      <c r="M502" s="32"/>
      <c r="V502" s="33"/>
      <c r="AF502" s="33"/>
      <c r="AP502" s="31"/>
      <c r="AQ502" s="34"/>
      <c r="AX502" s="33"/>
      <c r="BA502" s="83"/>
      <c r="BB502" s="84"/>
      <c r="BC502" s="85"/>
      <c r="BD502" s="84"/>
    </row>
    <row r="503" spans="1:56" s="23" customFormat="1" x14ac:dyDescent="0.25">
      <c r="A503" s="30"/>
      <c r="L503" s="31"/>
      <c r="M503" s="32"/>
      <c r="V503" s="33"/>
      <c r="AF503" s="33"/>
      <c r="AP503" s="31"/>
      <c r="AQ503" s="34"/>
      <c r="AX503" s="33"/>
      <c r="BA503" s="83"/>
      <c r="BB503" s="84"/>
      <c r="BC503" s="85"/>
      <c r="BD503" s="84"/>
    </row>
    <row r="504" spans="1:56" s="23" customFormat="1" x14ac:dyDescent="0.25">
      <c r="A504" s="30"/>
      <c r="L504" s="31"/>
      <c r="M504" s="32"/>
      <c r="V504" s="33"/>
      <c r="AF504" s="33"/>
      <c r="AP504" s="31"/>
      <c r="AQ504" s="34"/>
      <c r="AX504" s="33"/>
      <c r="BA504" s="83"/>
      <c r="BB504" s="84"/>
      <c r="BC504" s="85"/>
      <c r="BD504" s="84"/>
    </row>
    <row r="505" spans="1:56" s="23" customFormat="1" x14ac:dyDescent="0.25">
      <c r="A505" s="30"/>
      <c r="L505" s="31"/>
      <c r="M505" s="32"/>
      <c r="V505" s="33"/>
      <c r="AF505" s="33"/>
      <c r="AP505" s="31"/>
      <c r="AQ505" s="34"/>
      <c r="AX505" s="33"/>
      <c r="BA505" s="83"/>
      <c r="BB505" s="84"/>
      <c r="BC505" s="85"/>
      <c r="BD505" s="84"/>
    </row>
    <row r="506" spans="1:56" s="23" customFormat="1" x14ac:dyDescent="0.25">
      <c r="A506" s="30"/>
      <c r="L506" s="31"/>
      <c r="M506" s="32"/>
      <c r="V506" s="33"/>
      <c r="AF506" s="33"/>
      <c r="AP506" s="31"/>
      <c r="AQ506" s="34"/>
      <c r="AX506" s="33"/>
      <c r="BA506" s="83"/>
      <c r="BB506" s="84"/>
      <c r="BC506" s="85"/>
      <c r="BD506" s="84"/>
    </row>
    <row r="507" spans="1:56" s="23" customFormat="1" x14ac:dyDescent="0.25">
      <c r="A507" s="30"/>
      <c r="L507" s="31"/>
      <c r="M507" s="32"/>
      <c r="V507" s="33"/>
      <c r="AF507" s="33"/>
      <c r="AP507" s="31"/>
      <c r="AQ507" s="34"/>
      <c r="AX507" s="33"/>
      <c r="BA507" s="83"/>
      <c r="BB507" s="84"/>
      <c r="BC507" s="85"/>
      <c r="BD507" s="84"/>
    </row>
    <row r="508" spans="1:56" s="23" customFormat="1" x14ac:dyDescent="0.25">
      <c r="A508" s="30"/>
      <c r="L508" s="31"/>
      <c r="M508" s="32"/>
      <c r="V508" s="33"/>
      <c r="AF508" s="33"/>
      <c r="AP508" s="31"/>
      <c r="AQ508" s="34"/>
      <c r="AX508" s="33"/>
      <c r="BA508" s="83"/>
      <c r="BB508" s="84"/>
      <c r="BC508" s="85"/>
      <c r="BD508" s="84"/>
    </row>
    <row r="509" spans="1:56" s="23" customFormat="1" x14ac:dyDescent="0.25">
      <c r="A509" s="30"/>
      <c r="L509" s="31"/>
      <c r="M509" s="32"/>
      <c r="V509" s="33"/>
      <c r="AF509" s="33"/>
      <c r="AP509" s="31"/>
      <c r="AQ509" s="34"/>
      <c r="AX509" s="33"/>
      <c r="BA509" s="83"/>
      <c r="BB509" s="84"/>
      <c r="BC509" s="85"/>
      <c r="BD509" s="84"/>
    </row>
    <row r="510" spans="1:56" s="23" customFormat="1" x14ac:dyDescent="0.25">
      <c r="A510" s="30"/>
      <c r="L510" s="31"/>
      <c r="M510" s="32"/>
      <c r="V510" s="33"/>
      <c r="AF510" s="33"/>
      <c r="AP510" s="31"/>
      <c r="AQ510" s="34"/>
      <c r="AX510" s="33"/>
      <c r="BA510" s="83"/>
      <c r="BB510" s="84"/>
      <c r="BC510" s="85"/>
      <c r="BD510" s="84"/>
    </row>
    <row r="511" spans="1:56" s="23" customFormat="1" x14ac:dyDescent="0.25">
      <c r="A511" s="30"/>
      <c r="L511" s="31"/>
      <c r="M511" s="32"/>
      <c r="V511" s="33"/>
      <c r="AF511" s="33"/>
      <c r="AP511" s="31"/>
      <c r="AQ511" s="34"/>
      <c r="AX511" s="33"/>
      <c r="BA511" s="83"/>
      <c r="BB511" s="84"/>
      <c r="BC511" s="85"/>
      <c r="BD511" s="84"/>
    </row>
    <row r="512" spans="1:56" s="23" customFormat="1" x14ac:dyDescent="0.25">
      <c r="A512" s="30"/>
      <c r="L512" s="31"/>
      <c r="M512" s="32"/>
      <c r="V512" s="33"/>
      <c r="AF512" s="33"/>
      <c r="AP512" s="31"/>
      <c r="AQ512" s="34"/>
      <c r="AX512" s="33"/>
      <c r="BA512" s="83"/>
      <c r="BB512" s="84"/>
      <c r="BC512" s="85"/>
      <c r="BD512" s="84"/>
    </row>
    <row r="513" spans="1:56" s="23" customFormat="1" x14ac:dyDescent="0.25">
      <c r="A513" s="30"/>
      <c r="L513" s="31"/>
      <c r="M513" s="32"/>
      <c r="V513" s="33"/>
      <c r="AF513" s="33"/>
      <c r="AP513" s="31"/>
      <c r="AQ513" s="34"/>
      <c r="AX513" s="33"/>
      <c r="BA513" s="83"/>
      <c r="BB513" s="84"/>
      <c r="BC513" s="85"/>
      <c r="BD513" s="84"/>
    </row>
    <row r="514" spans="1:56" s="23" customFormat="1" x14ac:dyDescent="0.25">
      <c r="A514" s="30"/>
      <c r="L514" s="31"/>
      <c r="M514" s="32"/>
      <c r="V514" s="33"/>
      <c r="AF514" s="33"/>
      <c r="AP514" s="31"/>
      <c r="AQ514" s="34"/>
      <c r="AX514" s="33"/>
      <c r="BA514" s="83"/>
      <c r="BB514" s="84"/>
      <c r="BC514" s="85"/>
      <c r="BD514" s="84"/>
    </row>
    <row r="515" spans="1:56" s="23" customFormat="1" x14ac:dyDescent="0.25">
      <c r="A515" s="30"/>
      <c r="L515" s="31"/>
      <c r="M515" s="32"/>
      <c r="V515" s="33"/>
      <c r="AF515" s="33"/>
      <c r="AP515" s="31"/>
      <c r="AQ515" s="34"/>
      <c r="AX515" s="33"/>
      <c r="BA515" s="83"/>
      <c r="BB515" s="84"/>
      <c r="BC515" s="85"/>
      <c r="BD515" s="84"/>
    </row>
    <row r="516" spans="1:56" s="23" customFormat="1" x14ac:dyDescent="0.25">
      <c r="A516" s="30"/>
      <c r="L516" s="31"/>
      <c r="M516" s="32"/>
      <c r="V516" s="33"/>
      <c r="AF516" s="33"/>
      <c r="AP516" s="31"/>
      <c r="AQ516" s="34"/>
      <c r="AX516" s="33"/>
      <c r="BA516" s="83"/>
      <c r="BB516" s="84"/>
      <c r="BC516" s="85"/>
      <c r="BD516" s="84"/>
    </row>
    <row r="517" spans="1:56" s="23" customFormat="1" x14ac:dyDescent="0.25">
      <c r="A517" s="30"/>
      <c r="L517" s="31"/>
      <c r="M517" s="32"/>
      <c r="V517" s="33"/>
      <c r="AF517" s="33"/>
      <c r="AP517" s="31"/>
      <c r="AQ517" s="34"/>
      <c r="AX517" s="33"/>
      <c r="BA517" s="83"/>
      <c r="BB517" s="84"/>
      <c r="BC517" s="85"/>
      <c r="BD517" s="84"/>
    </row>
    <row r="518" spans="1:56" s="23" customFormat="1" x14ac:dyDescent="0.25">
      <c r="A518" s="30"/>
      <c r="L518" s="31"/>
      <c r="M518" s="32"/>
      <c r="V518" s="33"/>
      <c r="AF518" s="33"/>
      <c r="AP518" s="31"/>
      <c r="AQ518" s="34"/>
      <c r="AX518" s="33"/>
      <c r="BA518" s="83"/>
      <c r="BB518" s="84"/>
      <c r="BC518" s="85"/>
      <c r="BD518" s="84"/>
    </row>
    <row r="519" spans="1:56" s="23" customFormat="1" x14ac:dyDescent="0.25">
      <c r="A519" s="30"/>
      <c r="L519" s="31"/>
      <c r="M519" s="32"/>
      <c r="V519" s="33"/>
      <c r="AF519" s="33"/>
      <c r="AP519" s="31"/>
      <c r="AQ519" s="34"/>
      <c r="AX519" s="33"/>
      <c r="BA519" s="83"/>
      <c r="BB519" s="84"/>
      <c r="BC519" s="85"/>
      <c r="BD519" s="84"/>
    </row>
    <row r="520" spans="1:56" s="23" customFormat="1" x14ac:dyDescent="0.25">
      <c r="A520" s="30"/>
      <c r="L520" s="31"/>
      <c r="M520" s="32"/>
      <c r="V520" s="33"/>
      <c r="AF520" s="33"/>
      <c r="AP520" s="31"/>
      <c r="AQ520" s="34"/>
      <c r="AX520" s="33"/>
      <c r="BA520" s="83"/>
      <c r="BB520" s="84"/>
      <c r="BC520" s="85"/>
      <c r="BD520" s="84"/>
    </row>
    <row r="521" spans="1:56" s="23" customFormat="1" x14ac:dyDescent="0.25">
      <c r="A521" s="30"/>
      <c r="L521" s="31"/>
      <c r="M521" s="32"/>
      <c r="V521" s="33"/>
      <c r="AF521" s="33"/>
      <c r="AP521" s="31"/>
      <c r="AQ521" s="34"/>
      <c r="AX521" s="33"/>
      <c r="BA521" s="83"/>
      <c r="BB521" s="84"/>
      <c r="BC521" s="85"/>
      <c r="BD521" s="84"/>
    </row>
    <row r="522" spans="1:56" s="23" customFormat="1" x14ac:dyDescent="0.25">
      <c r="A522" s="30"/>
      <c r="L522" s="31"/>
      <c r="M522" s="32"/>
      <c r="V522" s="33"/>
      <c r="AF522" s="33"/>
      <c r="AP522" s="31"/>
      <c r="AQ522" s="34"/>
      <c r="AX522" s="33"/>
      <c r="BA522" s="83"/>
      <c r="BB522" s="84"/>
      <c r="BC522" s="85"/>
      <c r="BD522" s="84"/>
    </row>
    <row r="523" spans="1:56" s="23" customFormat="1" x14ac:dyDescent="0.25">
      <c r="A523" s="30"/>
      <c r="L523" s="31"/>
      <c r="M523" s="32"/>
      <c r="V523" s="33"/>
      <c r="AF523" s="33"/>
      <c r="AP523" s="31"/>
      <c r="AQ523" s="34"/>
      <c r="AX523" s="33"/>
      <c r="BA523" s="83"/>
      <c r="BB523" s="84"/>
      <c r="BC523" s="85"/>
      <c r="BD523" s="84"/>
    </row>
    <row r="524" spans="1:56" s="23" customFormat="1" x14ac:dyDescent="0.25">
      <c r="A524" s="30"/>
      <c r="L524" s="31"/>
      <c r="M524" s="32"/>
      <c r="V524" s="33"/>
      <c r="AF524" s="33"/>
      <c r="AP524" s="31"/>
      <c r="AQ524" s="34"/>
      <c r="AX524" s="33"/>
      <c r="BA524" s="83"/>
      <c r="BB524" s="84"/>
      <c r="BC524" s="85"/>
      <c r="BD524" s="84"/>
    </row>
    <row r="525" spans="1:56" s="23" customFormat="1" x14ac:dyDescent="0.25">
      <c r="A525" s="30"/>
      <c r="L525" s="31"/>
      <c r="M525" s="32"/>
      <c r="V525" s="33"/>
      <c r="AF525" s="33"/>
      <c r="AP525" s="31"/>
      <c r="AQ525" s="34"/>
      <c r="AX525" s="33"/>
      <c r="BA525" s="83"/>
      <c r="BB525" s="84"/>
      <c r="BC525" s="85"/>
      <c r="BD525" s="84"/>
    </row>
    <row r="526" spans="1:56" s="23" customFormat="1" x14ac:dyDescent="0.25">
      <c r="A526" s="30"/>
      <c r="L526" s="31"/>
      <c r="M526" s="32"/>
      <c r="V526" s="33"/>
      <c r="AF526" s="33"/>
      <c r="AP526" s="31"/>
      <c r="AQ526" s="34"/>
      <c r="AX526" s="33"/>
      <c r="BA526" s="83"/>
      <c r="BB526" s="84"/>
      <c r="BC526" s="85"/>
      <c r="BD526" s="84"/>
    </row>
    <row r="527" spans="1:56" s="23" customFormat="1" x14ac:dyDescent="0.25">
      <c r="A527" s="30"/>
      <c r="L527" s="31"/>
      <c r="M527" s="32"/>
      <c r="V527" s="33"/>
      <c r="AF527" s="33"/>
      <c r="AP527" s="31"/>
      <c r="AQ527" s="34"/>
      <c r="AX527" s="33"/>
      <c r="BA527" s="83"/>
      <c r="BB527" s="84"/>
      <c r="BC527" s="85"/>
      <c r="BD527" s="84"/>
    </row>
    <row r="528" spans="1:56" s="23" customFormat="1" x14ac:dyDescent="0.25">
      <c r="A528" s="30"/>
      <c r="L528" s="31"/>
      <c r="M528" s="32"/>
      <c r="V528" s="33"/>
      <c r="AF528" s="33"/>
      <c r="AP528" s="31"/>
      <c r="AQ528" s="34"/>
      <c r="AX528" s="33"/>
      <c r="BA528" s="83"/>
      <c r="BB528" s="84"/>
      <c r="BC528" s="85"/>
      <c r="BD528" s="84"/>
    </row>
    <row r="529" spans="1:56" s="23" customFormat="1" x14ac:dyDescent="0.25">
      <c r="A529" s="30"/>
      <c r="L529" s="31"/>
      <c r="M529" s="32"/>
      <c r="V529" s="33"/>
      <c r="AF529" s="33"/>
      <c r="AP529" s="31"/>
      <c r="AQ529" s="34"/>
      <c r="AX529" s="33"/>
      <c r="BA529" s="83"/>
      <c r="BB529" s="84"/>
      <c r="BC529" s="85"/>
      <c r="BD529" s="84"/>
    </row>
    <row r="530" spans="1:56" s="23" customFormat="1" x14ac:dyDescent="0.25">
      <c r="A530" s="30"/>
      <c r="L530" s="31"/>
      <c r="M530" s="32"/>
      <c r="V530" s="33"/>
      <c r="AF530" s="33"/>
      <c r="AP530" s="31"/>
      <c r="AQ530" s="34"/>
      <c r="AX530" s="33"/>
      <c r="BA530" s="83"/>
      <c r="BB530" s="84"/>
      <c r="BC530" s="85"/>
      <c r="BD530" s="84"/>
    </row>
    <row r="531" spans="1:56" s="23" customFormat="1" x14ac:dyDescent="0.25">
      <c r="A531" s="30"/>
      <c r="L531" s="31"/>
      <c r="M531" s="32"/>
      <c r="V531" s="33"/>
      <c r="AF531" s="33"/>
      <c r="AP531" s="31"/>
      <c r="AQ531" s="34"/>
      <c r="AX531" s="33"/>
      <c r="BA531" s="83"/>
      <c r="BB531" s="84"/>
      <c r="BC531" s="85"/>
      <c r="BD531" s="84"/>
    </row>
    <row r="532" spans="1:56" s="23" customFormat="1" x14ac:dyDescent="0.25">
      <c r="A532" s="30"/>
      <c r="L532" s="31"/>
      <c r="M532" s="32"/>
      <c r="V532" s="33"/>
      <c r="AF532" s="33"/>
      <c r="AP532" s="31"/>
      <c r="AQ532" s="34"/>
      <c r="AX532" s="33"/>
      <c r="BA532" s="83"/>
      <c r="BB532" s="84"/>
      <c r="BC532" s="85"/>
      <c r="BD532" s="84"/>
    </row>
    <row r="533" spans="1:56" s="23" customFormat="1" x14ac:dyDescent="0.25">
      <c r="A533" s="30"/>
      <c r="L533" s="31"/>
      <c r="M533" s="32"/>
      <c r="V533" s="33"/>
      <c r="AF533" s="33"/>
      <c r="AP533" s="31"/>
      <c r="AQ533" s="34"/>
      <c r="AX533" s="33"/>
      <c r="BA533" s="83"/>
      <c r="BB533" s="84"/>
      <c r="BC533" s="85"/>
      <c r="BD533" s="84"/>
    </row>
    <row r="534" spans="1:56" s="23" customFormat="1" x14ac:dyDescent="0.25">
      <c r="A534" s="30"/>
      <c r="L534" s="31"/>
      <c r="M534" s="32"/>
      <c r="V534" s="33"/>
      <c r="AF534" s="33"/>
      <c r="AP534" s="31"/>
      <c r="AQ534" s="34"/>
      <c r="AX534" s="33"/>
      <c r="BA534" s="83"/>
      <c r="BB534" s="84"/>
      <c r="BC534" s="85"/>
      <c r="BD534" s="84"/>
    </row>
    <row r="535" spans="1:56" s="23" customFormat="1" x14ac:dyDescent="0.25">
      <c r="A535" s="30"/>
      <c r="L535" s="31"/>
      <c r="M535" s="32"/>
      <c r="V535" s="33"/>
      <c r="AF535" s="33"/>
      <c r="AP535" s="31"/>
      <c r="AQ535" s="34"/>
      <c r="AX535" s="33"/>
      <c r="BA535" s="83"/>
      <c r="BB535" s="84"/>
      <c r="BC535" s="85"/>
      <c r="BD535" s="84"/>
    </row>
    <row r="536" spans="1:56" s="23" customFormat="1" x14ac:dyDescent="0.25">
      <c r="A536" s="30"/>
      <c r="L536" s="31"/>
      <c r="M536" s="32"/>
      <c r="V536" s="33"/>
      <c r="AF536" s="33"/>
      <c r="AP536" s="31"/>
      <c r="AQ536" s="34"/>
      <c r="AX536" s="33"/>
      <c r="BA536" s="83"/>
      <c r="BB536" s="84"/>
      <c r="BC536" s="85"/>
      <c r="BD536" s="84"/>
    </row>
    <row r="537" spans="1:56" s="23" customFormat="1" x14ac:dyDescent="0.25">
      <c r="A537" s="30"/>
      <c r="L537" s="31"/>
      <c r="M537" s="32"/>
      <c r="V537" s="33"/>
      <c r="AF537" s="33"/>
      <c r="AP537" s="31"/>
      <c r="AQ537" s="34"/>
      <c r="AX537" s="33"/>
      <c r="BA537" s="83"/>
      <c r="BB537" s="84"/>
      <c r="BC537" s="85"/>
      <c r="BD537" s="84"/>
    </row>
    <row r="538" spans="1:56" s="23" customFormat="1" x14ac:dyDescent="0.25">
      <c r="A538" s="30"/>
      <c r="L538" s="31"/>
      <c r="M538" s="32"/>
      <c r="V538" s="33"/>
      <c r="AF538" s="33"/>
      <c r="AP538" s="31"/>
      <c r="AQ538" s="34"/>
      <c r="AX538" s="33"/>
      <c r="BA538" s="83"/>
      <c r="BB538" s="84"/>
      <c r="BC538" s="85"/>
      <c r="BD538" s="84"/>
    </row>
    <row r="539" spans="1:56" s="23" customFormat="1" x14ac:dyDescent="0.25">
      <c r="A539" s="30"/>
      <c r="L539" s="31"/>
      <c r="M539" s="32"/>
      <c r="V539" s="33"/>
      <c r="AF539" s="33"/>
      <c r="AP539" s="31"/>
      <c r="AQ539" s="34"/>
      <c r="AX539" s="33"/>
      <c r="BA539" s="83"/>
      <c r="BB539" s="84"/>
      <c r="BC539" s="85"/>
      <c r="BD539" s="84"/>
    </row>
    <row r="540" spans="1:56" s="23" customFormat="1" x14ac:dyDescent="0.25">
      <c r="A540" s="30"/>
      <c r="L540" s="31"/>
      <c r="M540" s="32"/>
      <c r="V540" s="33"/>
      <c r="AF540" s="33"/>
      <c r="AP540" s="31"/>
      <c r="AQ540" s="34"/>
      <c r="AX540" s="33"/>
      <c r="BA540" s="83"/>
      <c r="BB540" s="84"/>
      <c r="BC540" s="85"/>
      <c r="BD540" s="84"/>
    </row>
    <row r="541" spans="1:56" s="23" customFormat="1" x14ac:dyDescent="0.25">
      <c r="A541" s="30"/>
      <c r="L541" s="31"/>
      <c r="M541" s="32"/>
      <c r="V541" s="33"/>
      <c r="AF541" s="33"/>
      <c r="AP541" s="31"/>
      <c r="AQ541" s="34"/>
      <c r="AX541" s="33"/>
      <c r="BA541" s="83"/>
      <c r="BB541" s="84"/>
      <c r="BC541" s="85"/>
      <c r="BD541" s="84"/>
    </row>
    <row r="542" spans="1:56" s="23" customFormat="1" x14ac:dyDescent="0.25">
      <c r="A542" s="30"/>
      <c r="L542" s="31"/>
      <c r="M542" s="32"/>
      <c r="V542" s="33"/>
      <c r="AF542" s="33"/>
      <c r="AP542" s="31"/>
      <c r="AQ542" s="34"/>
      <c r="AX542" s="33"/>
      <c r="BA542" s="83"/>
      <c r="BB542" s="84"/>
      <c r="BC542" s="85"/>
      <c r="BD542" s="84"/>
    </row>
    <row r="543" spans="1:56" s="23" customFormat="1" x14ac:dyDescent="0.25">
      <c r="A543" s="30"/>
      <c r="L543" s="31"/>
      <c r="M543" s="32"/>
      <c r="V543" s="33"/>
      <c r="AF543" s="33"/>
      <c r="AP543" s="31"/>
      <c r="AQ543" s="34"/>
      <c r="AX543" s="33"/>
      <c r="BA543" s="83"/>
      <c r="BB543" s="84"/>
      <c r="BC543" s="85"/>
      <c r="BD543" s="84"/>
    </row>
    <row r="544" spans="1:56" s="23" customFormat="1" x14ac:dyDescent="0.25">
      <c r="A544" s="30"/>
      <c r="L544" s="31"/>
      <c r="M544" s="32"/>
      <c r="V544" s="33"/>
      <c r="AF544" s="33"/>
      <c r="AP544" s="31"/>
      <c r="AQ544" s="34"/>
      <c r="AX544" s="33"/>
      <c r="BA544" s="83"/>
      <c r="BB544" s="84"/>
      <c r="BC544" s="85"/>
      <c r="BD544" s="84"/>
    </row>
    <row r="545" spans="1:56" s="23" customFormat="1" x14ac:dyDescent="0.25">
      <c r="A545" s="30"/>
      <c r="L545" s="31"/>
      <c r="M545" s="32"/>
      <c r="V545" s="33"/>
      <c r="AF545" s="33"/>
      <c r="AP545" s="31"/>
      <c r="AQ545" s="34"/>
      <c r="AX545" s="33"/>
      <c r="BA545" s="83"/>
      <c r="BB545" s="84"/>
      <c r="BC545" s="85"/>
      <c r="BD545" s="84"/>
    </row>
    <row r="546" spans="1:56" s="23" customFormat="1" x14ac:dyDescent="0.25">
      <c r="A546" s="30"/>
      <c r="L546" s="31"/>
      <c r="M546" s="32"/>
      <c r="V546" s="33"/>
      <c r="AF546" s="33"/>
      <c r="AP546" s="31"/>
      <c r="AQ546" s="34"/>
      <c r="AX546" s="33"/>
      <c r="BA546" s="83"/>
      <c r="BB546" s="84"/>
      <c r="BC546" s="85"/>
      <c r="BD546" s="84"/>
    </row>
    <row r="547" spans="1:56" s="23" customFormat="1" x14ac:dyDescent="0.25">
      <c r="A547" s="30"/>
      <c r="L547" s="31"/>
      <c r="M547" s="32"/>
      <c r="V547" s="33"/>
      <c r="AF547" s="33"/>
      <c r="AP547" s="31"/>
      <c r="AQ547" s="34"/>
      <c r="AX547" s="33"/>
      <c r="BA547" s="83"/>
      <c r="BB547" s="84"/>
      <c r="BC547" s="85"/>
      <c r="BD547" s="84"/>
    </row>
    <row r="548" spans="1:56" s="23" customFormat="1" x14ac:dyDescent="0.25">
      <c r="A548" s="30"/>
      <c r="L548" s="31"/>
      <c r="M548" s="32"/>
      <c r="V548" s="33"/>
      <c r="AF548" s="33"/>
      <c r="AP548" s="31"/>
      <c r="AQ548" s="34"/>
      <c r="AX548" s="33"/>
      <c r="BA548" s="83"/>
      <c r="BB548" s="84"/>
      <c r="BC548" s="85"/>
      <c r="BD548" s="84"/>
    </row>
    <row r="549" spans="1:56" s="23" customFormat="1" x14ac:dyDescent="0.25">
      <c r="A549" s="30"/>
      <c r="L549" s="31"/>
      <c r="M549" s="32"/>
      <c r="V549" s="33"/>
      <c r="AF549" s="33"/>
      <c r="AP549" s="31"/>
      <c r="AQ549" s="34"/>
      <c r="AX549" s="33"/>
      <c r="BA549" s="83"/>
      <c r="BB549" s="84"/>
      <c r="BC549" s="85"/>
      <c r="BD549" s="84"/>
    </row>
    <row r="550" spans="1:56" s="23" customFormat="1" x14ac:dyDescent="0.25">
      <c r="A550" s="30"/>
      <c r="L550" s="31"/>
      <c r="M550" s="32"/>
      <c r="V550" s="33"/>
      <c r="AF550" s="33"/>
      <c r="AP550" s="31"/>
      <c r="AQ550" s="34"/>
      <c r="AX550" s="33"/>
      <c r="BA550" s="83"/>
      <c r="BB550" s="84"/>
      <c r="BC550" s="85"/>
      <c r="BD550" s="84"/>
    </row>
    <row r="551" spans="1:56" s="23" customFormat="1" x14ac:dyDescent="0.25">
      <c r="A551" s="30"/>
      <c r="L551" s="31"/>
      <c r="M551" s="32"/>
      <c r="V551" s="33"/>
      <c r="AF551" s="33"/>
      <c r="AP551" s="31"/>
      <c r="AQ551" s="34"/>
      <c r="AX551" s="33"/>
      <c r="BA551" s="83"/>
      <c r="BB551" s="84"/>
      <c r="BC551" s="85"/>
      <c r="BD551" s="84"/>
    </row>
    <row r="552" spans="1:56" s="23" customFormat="1" x14ac:dyDescent="0.25">
      <c r="A552" s="30"/>
      <c r="L552" s="31"/>
      <c r="M552" s="32"/>
      <c r="V552" s="33"/>
      <c r="AF552" s="33"/>
      <c r="AP552" s="31"/>
      <c r="AQ552" s="34"/>
      <c r="AX552" s="33"/>
      <c r="BA552" s="83"/>
      <c r="BB552" s="84"/>
      <c r="BC552" s="85"/>
      <c r="BD552" s="84"/>
    </row>
    <row r="553" spans="1:56" s="23" customFormat="1" x14ac:dyDescent="0.25">
      <c r="A553" s="30"/>
      <c r="L553" s="31"/>
      <c r="M553" s="32"/>
      <c r="V553" s="33"/>
      <c r="AF553" s="33"/>
      <c r="AP553" s="31"/>
      <c r="AQ553" s="34"/>
      <c r="AX553" s="33"/>
      <c r="BA553" s="83"/>
      <c r="BB553" s="84"/>
      <c r="BC553" s="85"/>
      <c r="BD553" s="84"/>
    </row>
    <row r="554" spans="1:56" s="23" customFormat="1" x14ac:dyDescent="0.25">
      <c r="A554" s="30"/>
      <c r="L554" s="31"/>
      <c r="M554" s="32"/>
      <c r="V554" s="33"/>
      <c r="AF554" s="33"/>
      <c r="AP554" s="31"/>
      <c r="AQ554" s="34"/>
      <c r="AX554" s="33"/>
      <c r="BA554" s="83"/>
      <c r="BB554" s="84"/>
      <c r="BC554" s="85"/>
      <c r="BD554" s="84"/>
    </row>
    <row r="555" spans="1:56" s="23" customFormat="1" x14ac:dyDescent="0.25">
      <c r="A555" s="30"/>
      <c r="L555" s="31"/>
      <c r="M555" s="32"/>
      <c r="V555" s="33"/>
      <c r="AF555" s="33"/>
      <c r="AP555" s="31"/>
      <c r="AQ555" s="34"/>
      <c r="AX555" s="33"/>
      <c r="BA555" s="83"/>
      <c r="BB555" s="84"/>
      <c r="BC555" s="85"/>
      <c r="BD555" s="84"/>
    </row>
    <row r="556" spans="1:56" s="23" customFormat="1" x14ac:dyDescent="0.25">
      <c r="A556" s="30"/>
      <c r="L556" s="31"/>
      <c r="M556" s="32"/>
      <c r="V556" s="33"/>
      <c r="AF556" s="33"/>
      <c r="AP556" s="31"/>
      <c r="AQ556" s="34"/>
      <c r="AX556" s="33"/>
      <c r="BA556" s="83"/>
      <c r="BB556" s="84"/>
      <c r="BC556" s="85"/>
      <c r="BD556" s="84"/>
    </row>
    <row r="557" spans="1:56" s="23" customFormat="1" x14ac:dyDescent="0.25">
      <c r="A557" s="30"/>
      <c r="L557" s="31"/>
      <c r="M557" s="32"/>
      <c r="V557" s="33"/>
      <c r="AF557" s="33"/>
      <c r="AP557" s="31"/>
      <c r="AQ557" s="34"/>
      <c r="AX557" s="33"/>
      <c r="BA557" s="83"/>
      <c r="BB557" s="84"/>
      <c r="BC557" s="85"/>
      <c r="BD557" s="84"/>
    </row>
    <row r="558" spans="1:56" s="23" customFormat="1" x14ac:dyDescent="0.25">
      <c r="A558" s="30"/>
      <c r="L558" s="31"/>
      <c r="M558" s="32"/>
      <c r="V558" s="33"/>
      <c r="AF558" s="33"/>
      <c r="AP558" s="31"/>
      <c r="AQ558" s="34"/>
      <c r="AX558" s="33"/>
      <c r="BA558" s="83"/>
      <c r="BB558" s="84"/>
      <c r="BC558" s="85"/>
      <c r="BD558" s="84"/>
    </row>
    <row r="559" spans="1:56" s="23" customFormat="1" x14ac:dyDescent="0.25">
      <c r="A559" s="30"/>
      <c r="L559" s="31"/>
      <c r="M559" s="32"/>
      <c r="V559" s="33"/>
      <c r="AF559" s="33"/>
      <c r="AP559" s="31"/>
      <c r="AQ559" s="34"/>
      <c r="AX559" s="33"/>
      <c r="BA559" s="83"/>
      <c r="BB559" s="84"/>
      <c r="BC559" s="85"/>
      <c r="BD559" s="84"/>
    </row>
    <row r="560" spans="1:56" s="23" customFormat="1" x14ac:dyDescent="0.25">
      <c r="A560" s="30"/>
      <c r="L560" s="31"/>
      <c r="M560" s="32"/>
      <c r="V560" s="33"/>
      <c r="AF560" s="33"/>
      <c r="AP560" s="31"/>
      <c r="AQ560" s="34"/>
      <c r="AX560" s="33"/>
      <c r="BA560" s="83"/>
      <c r="BB560" s="84"/>
      <c r="BC560" s="85"/>
      <c r="BD560" s="84"/>
    </row>
    <row r="561" spans="1:56" s="23" customFormat="1" x14ac:dyDescent="0.25">
      <c r="A561" s="30"/>
      <c r="L561" s="31"/>
      <c r="M561" s="32"/>
      <c r="V561" s="33"/>
      <c r="AF561" s="33"/>
      <c r="AP561" s="31"/>
      <c r="AQ561" s="34"/>
      <c r="AX561" s="33"/>
      <c r="BA561" s="83"/>
      <c r="BB561" s="84"/>
      <c r="BC561" s="85"/>
      <c r="BD561" s="84"/>
    </row>
    <row r="562" spans="1:56" s="23" customFormat="1" x14ac:dyDescent="0.25">
      <c r="A562" s="30"/>
      <c r="L562" s="31"/>
      <c r="M562" s="32"/>
      <c r="V562" s="33"/>
      <c r="AF562" s="33"/>
      <c r="AP562" s="31"/>
      <c r="AQ562" s="34"/>
      <c r="AX562" s="33"/>
      <c r="BA562" s="83"/>
      <c r="BB562" s="84"/>
      <c r="BC562" s="85"/>
      <c r="BD562" s="84"/>
    </row>
    <row r="563" spans="1:56" s="23" customFormat="1" x14ac:dyDescent="0.25">
      <c r="A563" s="30"/>
      <c r="L563" s="31"/>
      <c r="M563" s="32"/>
      <c r="V563" s="33"/>
      <c r="AF563" s="33"/>
      <c r="AP563" s="31"/>
      <c r="AQ563" s="34"/>
      <c r="AX563" s="33"/>
      <c r="BA563" s="83"/>
      <c r="BB563" s="84"/>
      <c r="BC563" s="85"/>
      <c r="BD563" s="84"/>
    </row>
    <row r="564" spans="1:56" s="23" customFormat="1" x14ac:dyDescent="0.25">
      <c r="A564" s="30"/>
      <c r="L564" s="31"/>
      <c r="M564" s="32"/>
      <c r="V564" s="33"/>
      <c r="AF564" s="33"/>
      <c r="AP564" s="31"/>
      <c r="AQ564" s="34"/>
      <c r="AX564" s="33"/>
      <c r="BA564" s="83"/>
      <c r="BB564" s="84"/>
      <c r="BC564" s="85"/>
      <c r="BD564" s="84"/>
    </row>
    <row r="565" spans="1:56" s="23" customFormat="1" x14ac:dyDescent="0.25">
      <c r="A565" s="30"/>
      <c r="L565" s="31"/>
      <c r="M565" s="32"/>
      <c r="V565" s="33"/>
      <c r="AF565" s="33"/>
      <c r="AP565" s="31"/>
      <c r="AQ565" s="34"/>
      <c r="AX565" s="33"/>
      <c r="BA565" s="83"/>
      <c r="BB565" s="84"/>
      <c r="BC565" s="85"/>
      <c r="BD565" s="84"/>
    </row>
    <row r="566" spans="1:56" s="23" customFormat="1" x14ac:dyDescent="0.25">
      <c r="A566" s="30"/>
      <c r="L566" s="31"/>
      <c r="M566" s="32"/>
      <c r="V566" s="33"/>
      <c r="AF566" s="33"/>
      <c r="AP566" s="31"/>
      <c r="AQ566" s="34"/>
      <c r="AX566" s="33"/>
      <c r="BA566" s="83"/>
      <c r="BB566" s="84"/>
      <c r="BC566" s="85"/>
      <c r="BD566" s="84"/>
    </row>
    <row r="567" spans="1:56" s="23" customFormat="1" x14ac:dyDescent="0.25">
      <c r="A567" s="30"/>
      <c r="L567" s="31"/>
      <c r="M567" s="32"/>
      <c r="V567" s="33"/>
      <c r="AF567" s="33"/>
      <c r="AP567" s="31"/>
      <c r="AQ567" s="34"/>
      <c r="AX567" s="33"/>
      <c r="BA567" s="83"/>
      <c r="BB567" s="84"/>
      <c r="BC567" s="85"/>
      <c r="BD567" s="84"/>
    </row>
    <row r="568" spans="1:56" s="23" customFormat="1" x14ac:dyDescent="0.25">
      <c r="A568" s="30"/>
      <c r="L568" s="31"/>
      <c r="M568" s="32"/>
      <c r="V568" s="33"/>
      <c r="AF568" s="33"/>
      <c r="AP568" s="31"/>
      <c r="AQ568" s="34"/>
      <c r="AX568" s="33"/>
      <c r="BA568" s="83"/>
      <c r="BB568" s="84"/>
      <c r="BC568" s="85"/>
      <c r="BD568" s="84"/>
    </row>
    <row r="569" spans="1:56" s="23" customFormat="1" x14ac:dyDescent="0.25">
      <c r="A569" s="30"/>
      <c r="L569" s="31"/>
      <c r="M569" s="32"/>
      <c r="V569" s="33"/>
      <c r="AF569" s="33"/>
      <c r="AP569" s="31"/>
      <c r="AQ569" s="34"/>
      <c r="AX569" s="33"/>
      <c r="BA569" s="83"/>
      <c r="BB569" s="84"/>
      <c r="BC569" s="85"/>
      <c r="BD569" s="84"/>
    </row>
    <row r="570" spans="1:56" s="23" customFormat="1" x14ac:dyDescent="0.25">
      <c r="A570" s="30"/>
      <c r="L570" s="31"/>
      <c r="M570" s="32"/>
      <c r="V570" s="33"/>
      <c r="AF570" s="33"/>
      <c r="AP570" s="31"/>
      <c r="AQ570" s="34"/>
      <c r="AX570" s="33"/>
      <c r="BA570" s="83"/>
      <c r="BB570" s="84"/>
      <c r="BC570" s="85"/>
      <c r="BD570" s="84"/>
    </row>
    <row r="571" spans="1:56" s="23" customFormat="1" x14ac:dyDescent="0.25">
      <c r="A571" s="30"/>
      <c r="L571" s="31"/>
      <c r="M571" s="32"/>
      <c r="V571" s="33"/>
      <c r="AF571" s="33"/>
      <c r="AP571" s="31"/>
      <c r="AQ571" s="34"/>
      <c r="AX571" s="33"/>
      <c r="BA571" s="83"/>
      <c r="BB571" s="84"/>
      <c r="BC571" s="85"/>
      <c r="BD571" s="84"/>
    </row>
    <row r="572" spans="1:56" s="23" customFormat="1" x14ac:dyDescent="0.25">
      <c r="A572" s="30"/>
      <c r="L572" s="31"/>
      <c r="M572" s="32"/>
      <c r="V572" s="33"/>
      <c r="AF572" s="33"/>
      <c r="AP572" s="31"/>
      <c r="AQ572" s="34"/>
      <c r="AX572" s="33"/>
      <c r="BA572" s="83"/>
      <c r="BB572" s="84"/>
      <c r="BC572" s="85"/>
      <c r="BD572" s="84"/>
    </row>
    <row r="573" spans="1:56" s="23" customFormat="1" x14ac:dyDescent="0.25">
      <c r="A573" s="30"/>
      <c r="L573" s="31"/>
      <c r="M573" s="32"/>
      <c r="V573" s="33"/>
      <c r="AF573" s="33"/>
      <c r="AP573" s="31"/>
      <c r="AQ573" s="34"/>
      <c r="AX573" s="33"/>
      <c r="BA573" s="83"/>
      <c r="BB573" s="84"/>
      <c r="BC573" s="85"/>
      <c r="BD573" s="84"/>
    </row>
    <row r="574" spans="1:56" s="23" customFormat="1" x14ac:dyDescent="0.25">
      <c r="A574" s="30"/>
      <c r="L574" s="31"/>
      <c r="M574" s="32"/>
      <c r="V574" s="33"/>
      <c r="AF574" s="33"/>
      <c r="AP574" s="31"/>
      <c r="AQ574" s="34"/>
      <c r="AX574" s="33"/>
      <c r="BA574" s="83"/>
      <c r="BB574" s="84"/>
      <c r="BC574" s="85"/>
      <c r="BD574" s="84"/>
    </row>
    <row r="575" spans="1:56" s="23" customFormat="1" x14ac:dyDescent="0.25">
      <c r="A575" s="30"/>
      <c r="L575" s="31"/>
      <c r="M575" s="32"/>
      <c r="V575" s="33"/>
      <c r="AF575" s="33"/>
      <c r="AP575" s="31"/>
      <c r="AQ575" s="34"/>
      <c r="AX575" s="33"/>
      <c r="BA575" s="83"/>
      <c r="BB575" s="84"/>
      <c r="BC575" s="85"/>
      <c r="BD575" s="84"/>
    </row>
    <row r="576" spans="1:56" s="23" customFormat="1" x14ac:dyDescent="0.25">
      <c r="A576" s="30"/>
      <c r="L576" s="31"/>
      <c r="M576" s="32"/>
      <c r="V576" s="33"/>
      <c r="AF576" s="33"/>
      <c r="AP576" s="31"/>
      <c r="AQ576" s="34"/>
      <c r="AX576" s="33"/>
      <c r="BA576" s="83"/>
      <c r="BB576" s="84"/>
      <c r="BC576" s="85"/>
      <c r="BD576" s="84"/>
    </row>
    <row r="577" spans="1:56" s="23" customFormat="1" x14ac:dyDescent="0.25">
      <c r="A577" s="30"/>
      <c r="L577" s="31"/>
      <c r="M577" s="32"/>
      <c r="V577" s="33"/>
      <c r="AF577" s="33"/>
      <c r="AP577" s="31"/>
      <c r="AQ577" s="34"/>
      <c r="AX577" s="33"/>
      <c r="BA577" s="83"/>
      <c r="BB577" s="84"/>
      <c r="BC577" s="85"/>
      <c r="BD577" s="84"/>
    </row>
    <row r="578" spans="1:56" s="23" customFormat="1" x14ac:dyDescent="0.25">
      <c r="A578" s="30"/>
      <c r="L578" s="31"/>
      <c r="M578" s="32"/>
      <c r="V578" s="33"/>
      <c r="AF578" s="33"/>
      <c r="AP578" s="31"/>
      <c r="AQ578" s="34"/>
      <c r="AX578" s="33"/>
      <c r="BA578" s="83"/>
      <c r="BB578" s="84"/>
      <c r="BC578" s="85"/>
      <c r="BD578" s="84"/>
    </row>
    <row r="579" spans="1:56" s="23" customFormat="1" x14ac:dyDescent="0.25">
      <c r="A579" s="30"/>
      <c r="L579" s="31"/>
      <c r="M579" s="32"/>
      <c r="V579" s="33"/>
      <c r="AF579" s="33"/>
      <c r="AP579" s="31"/>
      <c r="AQ579" s="34"/>
      <c r="AX579" s="33"/>
      <c r="BA579" s="83"/>
      <c r="BB579" s="84"/>
      <c r="BC579" s="85"/>
      <c r="BD579" s="84"/>
    </row>
    <row r="580" spans="1:56" s="23" customFormat="1" x14ac:dyDescent="0.25">
      <c r="A580" s="30"/>
      <c r="L580" s="31"/>
      <c r="M580" s="32"/>
      <c r="V580" s="33"/>
      <c r="AF580" s="33"/>
      <c r="AP580" s="31"/>
      <c r="AQ580" s="34"/>
      <c r="AX580" s="33"/>
      <c r="BA580" s="83"/>
      <c r="BB580" s="84"/>
      <c r="BC580" s="85"/>
      <c r="BD580" s="84"/>
    </row>
    <row r="581" spans="1:56" s="23" customFormat="1" x14ac:dyDescent="0.25">
      <c r="A581" s="30"/>
      <c r="L581" s="31"/>
      <c r="M581" s="32"/>
      <c r="V581" s="33"/>
      <c r="AF581" s="33"/>
      <c r="AP581" s="31"/>
      <c r="AQ581" s="34"/>
      <c r="AX581" s="33"/>
      <c r="BA581" s="83"/>
      <c r="BB581" s="84"/>
      <c r="BC581" s="85"/>
      <c r="BD581" s="84"/>
    </row>
    <row r="582" spans="1:56" s="23" customFormat="1" x14ac:dyDescent="0.25">
      <c r="A582" s="30"/>
      <c r="L582" s="31"/>
      <c r="M582" s="32"/>
      <c r="V582" s="33"/>
      <c r="AF582" s="33"/>
      <c r="AP582" s="31"/>
      <c r="AQ582" s="34"/>
      <c r="AX582" s="33"/>
      <c r="BA582" s="83"/>
      <c r="BB582" s="84"/>
      <c r="BC582" s="85"/>
      <c r="BD582" s="84"/>
    </row>
    <row r="583" spans="1:56" s="23" customFormat="1" x14ac:dyDescent="0.25">
      <c r="A583" s="30"/>
      <c r="L583" s="31"/>
      <c r="M583" s="32"/>
      <c r="V583" s="33"/>
      <c r="AF583" s="33"/>
      <c r="AP583" s="31"/>
      <c r="AQ583" s="34"/>
      <c r="AX583" s="33"/>
      <c r="BA583" s="83"/>
      <c r="BB583" s="84"/>
      <c r="BC583" s="85"/>
      <c r="BD583" s="84"/>
    </row>
    <row r="584" spans="1:56" s="23" customFormat="1" x14ac:dyDescent="0.25">
      <c r="A584" s="30"/>
      <c r="L584" s="31"/>
      <c r="M584" s="32"/>
      <c r="V584" s="33"/>
      <c r="AF584" s="33"/>
      <c r="AP584" s="31"/>
      <c r="AQ584" s="34"/>
      <c r="AX584" s="33"/>
      <c r="BA584" s="83"/>
      <c r="BB584" s="84"/>
      <c r="BC584" s="85"/>
      <c r="BD584" s="84"/>
    </row>
    <row r="585" spans="1:56" s="23" customFormat="1" x14ac:dyDescent="0.25">
      <c r="A585" s="30"/>
      <c r="L585" s="31"/>
      <c r="M585" s="32"/>
      <c r="V585" s="33"/>
      <c r="AF585" s="33"/>
      <c r="AP585" s="31"/>
      <c r="AQ585" s="34"/>
      <c r="AX585" s="33"/>
      <c r="BA585" s="83"/>
      <c r="BB585" s="84"/>
      <c r="BC585" s="85"/>
      <c r="BD585" s="84"/>
    </row>
    <row r="586" spans="1:56" s="23" customFormat="1" x14ac:dyDescent="0.25">
      <c r="A586" s="30"/>
      <c r="L586" s="31"/>
      <c r="M586" s="32"/>
      <c r="V586" s="33"/>
      <c r="AF586" s="33"/>
      <c r="AP586" s="31"/>
      <c r="AQ586" s="34"/>
      <c r="AX586" s="33"/>
      <c r="BA586" s="83"/>
      <c r="BB586" s="84"/>
      <c r="BC586" s="85"/>
      <c r="BD586" s="84"/>
    </row>
    <row r="587" spans="1:56" s="23" customFormat="1" x14ac:dyDescent="0.25">
      <c r="A587" s="30"/>
      <c r="L587" s="31"/>
      <c r="M587" s="32"/>
      <c r="V587" s="33"/>
      <c r="AF587" s="33"/>
      <c r="AP587" s="31"/>
      <c r="AQ587" s="34"/>
      <c r="AX587" s="33"/>
      <c r="BA587" s="83"/>
      <c r="BB587" s="84"/>
      <c r="BC587" s="85"/>
      <c r="BD587" s="84"/>
    </row>
    <row r="588" spans="1:56" s="23" customFormat="1" x14ac:dyDescent="0.25">
      <c r="A588" s="30"/>
      <c r="L588" s="31"/>
      <c r="M588" s="32"/>
      <c r="V588" s="33"/>
      <c r="AF588" s="33"/>
      <c r="AP588" s="31"/>
      <c r="AQ588" s="34"/>
      <c r="AX588" s="33"/>
      <c r="BA588" s="83"/>
      <c r="BB588" s="84"/>
      <c r="BC588" s="85"/>
      <c r="BD588" s="84"/>
    </row>
    <row r="589" spans="1:56" s="23" customFormat="1" x14ac:dyDescent="0.25">
      <c r="A589" s="30"/>
      <c r="L589" s="31"/>
      <c r="M589" s="32"/>
      <c r="V589" s="33"/>
      <c r="AF589" s="33"/>
      <c r="AP589" s="31"/>
      <c r="AQ589" s="34"/>
      <c r="AX589" s="33"/>
      <c r="BA589" s="83"/>
      <c r="BB589" s="84"/>
      <c r="BC589" s="85"/>
      <c r="BD589" s="84"/>
    </row>
    <row r="590" spans="1:56" s="23" customFormat="1" x14ac:dyDescent="0.25">
      <c r="A590" s="30"/>
      <c r="L590" s="31"/>
      <c r="M590" s="32"/>
      <c r="V590" s="33"/>
      <c r="AF590" s="33"/>
      <c r="AP590" s="31"/>
      <c r="AQ590" s="34"/>
      <c r="AX590" s="33"/>
      <c r="BA590" s="83"/>
      <c r="BB590" s="84"/>
      <c r="BC590" s="85"/>
      <c r="BD590" s="84"/>
    </row>
    <row r="591" spans="1:56" s="23" customFormat="1" x14ac:dyDescent="0.25">
      <c r="A591" s="30"/>
      <c r="L591" s="31"/>
      <c r="M591" s="32"/>
      <c r="V591" s="33"/>
      <c r="AF591" s="33"/>
      <c r="AP591" s="31"/>
      <c r="AQ591" s="34"/>
      <c r="AX591" s="33"/>
      <c r="BA591" s="83"/>
      <c r="BB591" s="84"/>
      <c r="BC591" s="85"/>
      <c r="BD591" s="84"/>
    </row>
    <row r="592" spans="1:56" s="23" customFormat="1" x14ac:dyDescent="0.25">
      <c r="A592" s="30"/>
      <c r="L592" s="31"/>
      <c r="M592" s="32"/>
      <c r="V592" s="33"/>
      <c r="AF592" s="33"/>
      <c r="AP592" s="31"/>
      <c r="AQ592" s="34"/>
      <c r="AX592" s="33"/>
      <c r="BA592" s="83"/>
      <c r="BB592" s="84"/>
      <c r="BC592" s="85"/>
      <c r="BD592" s="84"/>
    </row>
    <row r="593" spans="1:56" s="23" customFormat="1" x14ac:dyDescent="0.25">
      <c r="A593" s="30"/>
      <c r="L593" s="31"/>
      <c r="M593" s="32"/>
      <c r="V593" s="33"/>
      <c r="AF593" s="33"/>
      <c r="AP593" s="31"/>
      <c r="AQ593" s="34"/>
      <c r="AX593" s="33"/>
      <c r="BA593" s="83"/>
      <c r="BB593" s="84"/>
      <c r="BC593" s="85"/>
      <c r="BD593" s="84"/>
    </row>
    <row r="594" spans="1:56" s="23" customFormat="1" x14ac:dyDescent="0.25">
      <c r="A594" s="30"/>
      <c r="L594" s="31"/>
      <c r="M594" s="32"/>
      <c r="V594" s="33"/>
      <c r="AF594" s="33"/>
      <c r="AP594" s="31"/>
      <c r="AQ594" s="34"/>
      <c r="AX594" s="33"/>
      <c r="BA594" s="83"/>
      <c r="BB594" s="84"/>
      <c r="BC594" s="86"/>
      <c r="BD594" s="87"/>
    </row>
    <row r="595" spans="1:56" s="23" customFormat="1" x14ac:dyDescent="0.25">
      <c r="A595" s="30"/>
      <c r="L595" s="31"/>
      <c r="M595" s="32"/>
      <c r="V595" s="33"/>
      <c r="AF595" s="33"/>
      <c r="AP595" s="31"/>
      <c r="AQ595" s="34"/>
      <c r="AX595" s="33"/>
      <c r="BA595" s="83"/>
      <c r="BB595" s="84"/>
      <c r="BC595" s="75"/>
      <c r="BD595" s="76"/>
    </row>
    <row r="596" spans="1:56" s="23" customFormat="1" x14ac:dyDescent="0.25">
      <c r="A596" s="30"/>
      <c r="L596" s="31"/>
      <c r="M596" s="32"/>
      <c r="V596" s="33"/>
      <c r="AF596" s="33"/>
      <c r="AP596" s="31"/>
      <c r="AQ596" s="34"/>
      <c r="AX596" s="33"/>
      <c r="BA596" s="83"/>
      <c r="BB596" s="84"/>
      <c r="BC596" s="75"/>
      <c r="BD596" s="76"/>
    </row>
    <row r="597" spans="1:56" s="23" customFormat="1" x14ac:dyDescent="0.25">
      <c r="A597" s="30"/>
      <c r="L597" s="31"/>
      <c r="M597" s="32"/>
      <c r="V597" s="33"/>
      <c r="AF597" s="33"/>
      <c r="AP597" s="31"/>
      <c r="AQ597" s="34"/>
      <c r="AX597" s="33"/>
      <c r="BA597" s="83"/>
      <c r="BB597" s="84"/>
      <c r="BC597" s="75"/>
      <c r="BD597" s="76"/>
    </row>
    <row r="598" spans="1:56" s="23" customFormat="1" x14ac:dyDescent="0.25">
      <c r="A598" s="30"/>
      <c r="L598" s="31"/>
      <c r="M598" s="32"/>
      <c r="V598" s="33"/>
      <c r="AF598" s="33"/>
      <c r="AP598" s="31"/>
      <c r="AQ598" s="34"/>
      <c r="AX598" s="33"/>
      <c r="BA598" s="83"/>
      <c r="BB598" s="84"/>
      <c r="BC598" s="75"/>
      <c r="BD598" s="76"/>
    </row>
    <row r="599" spans="1:56" s="23" customFormat="1" x14ac:dyDescent="0.25">
      <c r="A599" s="30"/>
      <c r="L599" s="31"/>
      <c r="M599" s="32"/>
      <c r="V599" s="33"/>
      <c r="AF599" s="33"/>
      <c r="AP599" s="31"/>
      <c r="AQ599" s="34"/>
      <c r="AX599" s="33"/>
      <c r="BA599" s="83"/>
      <c r="BB599" s="84"/>
      <c r="BC599" s="75"/>
      <c r="BD599" s="76"/>
    </row>
    <row r="600" spans="1:56" s="23" customFormat="1" x14ac:dyDescent="0.25">
      <c r="A600" s="30"/>
      <c r="L600" s="31"/>
      <c r="M600" s="32"/>
      <c r="V600" s="33"/>
      <c r="AF600" s="33"/>
      <c r="AP600" s="31"/>
      <c r="AQ600" s="34"/>
      <c r="AX600" s="33"/>
      <c r="BA600" s="83"/>
      <c r="BB600" s="84"/>
      <c r="BC600" s="75"/>
      <c r="BD600" s="76"/>
    </row>
    <row r="601" spans="1:56" s="23" customFormat="1" x14ac:dyDescent="0.25">
      <c r="A601" s="30"/>
      <c r="L601" s="31"/>
      <c r="M601" s="32"/>
      <c r="V601" s="33"/>
      <c r="AF601" s="33"/>
      <c r="AP601" s="31"/>
      <c r="AQ601" s="34"/>
      <c r="AX601" s="33"/>
      <c r="BA601" s="83"/>
      <c r="BB601" s="84"/>
      <c r="BC601" s="75"/>
      <c r="BD601" s="76"/>
    </row>
  </sheetData>
  <mergeCells count="42">
    <mergeCell ref="AP2:AQ2"/>
    <mergeCell ref="AF2:AG2"/>
    <mergeCell ref="AH2:AI2"/>
    <mergeCell ref="AJ2:AK2"/>
    <mergeCell ref="AL2:AM2"/>
    <mergeCell ref="AN2:AO2"/>
    <mergeCell ref="AT1:AU1"/>
    <mergeCell ref="AV1:AW1"/>
    <mergeCell ref="AX1:AY1"/>
    <mergeCell ref="F2:G2"/>
    <mergeCell ref="H2:I2"/>
    <mergeCell ref="J2:K2"/>
    <mergeCell ref="L2:M2"/>
    <mergeCell ref="N2:O2"/>
    <mergeCell ref="P2:Q2"/>
    <mergeCell ref="R2:S2"/>
    <mergeCell ref="T2:U2"/>
    <mergeCell ref="V2:W2"/>
    <mergeCell ref="X2:Y2"/>
    <mergeCell ref="Z2:AA2"/>
    <mergeCell ref="AB2:AC2"/>
    <mergeCell ref="AD2:AE2"/>
    <mergeCell ref="AJ1:AK1"/>
    <mergeCell ref="AL1:AM1"/>
    <mergeCell ref="AN1:AO1"/>
    <mergeCell ref="AP1:AQ1"/>
    <mergeCell ref="AR1:AS1"/>
    <mergeCell ref="Z1:AA1"/>
    <mergeCell ref="AB1:AC1"/>
    <mergeCell ref="AD1:AE1"/>
    <mergeCell ref="AF1:AG1"/>
    <mergeCell ref="AH1:AI1"/>
    <mergeCell ref="P1:Q1"/>
    <mergeCell ref="R1:S1"/>
    <mergeCell ref="T1:U1"/>
    <mergeCell ref="V1:W1"/>
    <mergeCell ref="X1:Y1"/>
    <mergeCell ref="F1:G1"/>
    <mergeCell ref="H1:I1"/>
    <mergeCell ref="J1:K1"/>
    <mergeCell ref="L1:M1"/>
    <mergeCell ref="N1:O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 and Values</vt:lpstr>
      <vt:lpstr>Formal framework</vt:lpstr>
    </vt:vector>
  </TitlesOfParts>
  <Company>Terma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Cotiga</dc:creator>
  <cp:lastModifiedBy>Marius Cotiga</cp:lastModifiedBy>
  <dcterms:created xsi:type="dcterms:W3CDTF">2012-10-25T07:43:36Z</dcterms:created>
  <dcterms:modified xsi:type="dcterms:W3CDTF">2026-08-17T19:42:23Z</dcterms:modified>
</cp:coreProperties>
</file>